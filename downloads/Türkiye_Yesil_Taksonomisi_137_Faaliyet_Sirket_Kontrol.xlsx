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tables/table7.xml" ContentType="application/vnd.openxmlformats-officedocument.spreadsheetml.table+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ŞLANGIÇ" sheetId="1" state="visible" r:id="rId1"/>
    <sheet xmlns:r="http://schemas.openxmlformats.org/officeDocument/2006/relationships" name="DASHBOARD" sheetId="2" state="visible" r:id="rId2"/>
    <sheet xmlns:r="http://schemas.openxmlformats.org/officeDocument/2006/relationships" name="137 EKONOMİK FAALİYET" sheetId="3" state="visible" r:id="rId3"/>
    <sheet xmlns:r="http://schemas.openxmlformats.org/officeDocument/2006/relationships" name="16 SEKTÖR" sheetId="4" state="visible" r:id="rId4"/>
    <sheet xmlns:r="http://schemas.openxmlformats.org/officeDocument/2006/relationships" name="6 ÇEVRESEL HEDEF" sheetId="5" state="visible" r:id="rId5"/>
    <sheet xmlns:r="http://schemas.openxmlformats.org/officeDocument/2006/relationships" name="ŞİRKETİMİ KONTROL ET" sheetId="6" state="visible" r:id="rId6"/>
    <sheet xmlns:r="http://schemas.openxmlformats.org/officeDocument/2006/relationships" name="_LISTELER" sheetId="7" state="hidden" r:id="rId7"/>
    <sheet xmlns:r="http://schemas.openxmlformats.org/officeDocument/2006/relationships" name="HAZIRLIK CHECKLIST" sheetId="8" state="visible" r:id="rId8"/>
    <sheet xmlns:r="http://schemas.openxmlformats.org/officeDocument/2006/relationships" name="KANIT BELGE ENVANTERİ" sheetId="9" state="visible" r:id="rId9"/>
    <sheet xmlns:r="http://schemas.openxmlformats.org/officeDocument/2006/relationships" name="FAALİYET EŞLEŞTİRME" sheetId="10" state="visible" r:id="rId10"/>
    <sheet xmlns:r="http://schemas.openxmlformats.org/officeDocument/2006/relationships" name="RAPORLAMA TAKVİMİ" sheetId="11" state="visible" r:id="rId11"/>
    <sheet xmlns:r="http://schemas.openxmlformats.org/officeDocument/2006/relationships" name="KAYNAKLAR" sheetId="12" state="visible" r:id="rId12"/>
    <sheet xmlns:r="http://schemas.openxmlformats.org/officeDocument/2006/relationships" name="KALİTE KONTROL" sheetId="13" state="visible" r:id="rId13"/>
  </sheets>
  <definedNames/>
  <calcPr calcId="124519" calcMode="auto" fullCalcOnLoad="1" forceFullCalc="1"/>
</workbook>
</file>

<file path=xl/styles.xml><?xml version="1.0" encoding="utf-8"?>
<styleSheet xmlns="http://schemas.openxmlformats.org/spreadsheetml/2006/main">
  <numFmts count="1">
    <numFmt numFmtId="164" formatCode="0.0%"/>
  </numFmts>
  <fonts count="25">
    <font>
      <name val="Calibri"/>
      <family val="2"/>
      <color theme="1"/>
      <sz val="11"/>
      <scheme val="minor"/>
    </font>
    <font>
      <b val="1"/>
      <color rgb="00FFFFFF"/>
      <sz val="16"/>
    </font>
    <font>
      <b val="1"/>
      <color rgb="001F7A78"/>
      <sz val="18"/>
    </font>
    <font>
      <b val="1"/>
      <color rgb="0017365D"/>
      <sz val="12"/>
    </font>
    <font>
      <color rgb="0017365D"/>
      <sz val="12"/>
    </font>
    <font>
      <b val="1"/>
      <color rgb="007F3F00"/>
      <sz val="12"/>
    </font>
    <font>
      <b val="1"/>
      <color rgb="0017365D"/>
    </font>
    <font>
      <b val="1"/>
      <color rgb="00FFFFFF"/>
    </font>
    <font>
      <name val="Calibri"/>
      <family val="2"/>
      <color theme="10"/>
      <sz val="12"/>
      <scheme val="minor"/>
    </font>
    <font>
      <color rgb="000000FF"/>
    </font>
    <font>
      <b val="1"/>
      <color rgb="007F6000"/>
    </font>
    <font>
      <b val="1"/>
      <color rgb="007F3F00"/>
    </font>
    <font>
      <b val="1"/>
      <color rgb="0017365D"/>
      <sz val="22"/>
    </font>
    <font>
      <name val="Aptos"/>
      <b val="1"/>
      <color rgb="001F7A78"/>
      <sz val="18"/>
    </font>
    <font>
      <name val="Aptos"/>
      <b val="1"/>
      <color rgb="0017365D"/>
      <sz val="12"/>
    </font>
    <font>
      <name val="Aptos"/>
      <color rgb="0017365D"/>
      <sz val="12"/>
    </font>
    <font>
      <name val="Aptos"/>
      <b val="1"/>
      <color rgb="007F3F00"/>
      <sz val="12"/>
    </font>
    <font>
      <name val="Aptos"/>
      <b val="1"/>
      <color rgb="0017365D"/>
      <sz val="10"/>
    </font>
    <font>
      <name val="Aptos"/>
      <family val="2"/>
      <color theme="1"/>
      <sz val="11"/>
      <scheme val="minor"/>
    </font>
    <font>
      <name val="Aptos"/>
      <b val="1"/>
      <color rgb="00FFFFFF"/>
      <sz val="10"/>
    </font>
    <font>
      <name val="Aptos"/>
      <b val="1"/>
      <color rgb="0017365D"/>
      <sz val="22"/>
    </font>
    <font>
      <name val="Aptos"/>
      <family val="2"/>
      <color theme="10"/>
      <sz val="12"/>
      <scheme val="minor"/>
    </font>
    <font>
      <name val="Aptos"/>
      <b val="1"/>
      <color rgb="007F6000"/>
      <sz val="10"/>
    </font>
    <font>
      <name val="Aptos"/>
      <color rgb="000000FF"/>
      <sz val="10"/>
    </font>
    <font>
      <name val="Aptos"/>
      <b val="1"/>
      <color rgb="007F3F00"/>
      <sz val="10"/>
    </font>
  </fonts>
  <fills count="9">
    <fill>
      <patternFill/>
    </fill>
    <fill>
      <patternFill patternType="gray125"/>
    </fill>
    <fill>
      <patternFill patternType="solid">
        <fgColor rgb="0017365D"/>
      </patternFill>
    </fill>
    <fill>
      <patternFill patternType="solid">
        <fgColor rgb="00F4F7FA"/>
      </patternFill>
    </fill>
    <fill>
      <patternFill patternType="solid">
        <fgColor rgb="00F4B183"/>
      </patternFill>
    </fill>
    <fill>
      <patternFill patternType="solid">
        <fgColor rgb="00DDEBF7"/>
      </patternFill>
    </fill>
    <fill>
      <patternFill patternType="solid">
        <fgColor rgb="001F7A78"/>
      </patternFill>
    </fill>
    <fill>
      <patternFill patternType="solid">
        <fgColor rgb="00FFD966"/>
      </patternFill>
    </fill>
    <fill>
      <patternFill patternType="solid">
        <fgColor rgb="0070AD47"/>
      </patternFill>
    </fill>
  </fills>
  <borders count="2">
    <border>
      <left/>
      <right/>
      <top/>
      <bottom/>
      <diagonal/>
    </border>
    <border>
      <bottom style="thin">
        <color rgb="00C5CED8"/>
      </bottom>
    </border>
  </borders>
  <cellStyleXfs count="2">
    <xf numFmtId="0" fontId="0" fillId="0" borderId="0"/>
    <xf numFmtId="0" fontId="8" fillId="0" borderId="0"/>
  </cellStyleXfs>
  <cellXfs count="25">
    <xf numFmtId="0" fontId="0" fillId="0" borderId="0" pivotButton="0" quotePrefix="0" xfId="0"/>
    <xf numFmtId="0" fontId="1" fillId="2" borderId="0" applyAlignment="1" pivotButton="0" quotePrefix="0" xfId="0">
      <alignment horizontal="left" vertical="center"/>
    </xf>
    <xf numFmtId="0" fontId="13" fillId="0" borderId="0" applyAlignment="1" pivotButton="0" quotePrefix="0" xfId="0">
      <alignment horizontal="center"/>
    </xf>
    <xf numFmtId="0" fontId="14" fillId="3" borderId="0" pivotButton="0" quotePrefix="0" xfId="0"/>
    <xf numFmtId="0" fontId="15" fillId="3" borderId="0" pivotButton="0" quotePrefix="0" xfId="0"/>
    <xf numFmtId="0" fontId="16" fillId="4" borderId="0" applyAlignment="1" pivotButton="0" quotePrefix="0" xfId="0">
      <alignment vertical="center" wrapText="1"/>
    </xf>
    <xf numFmtId="0" fontId="17" fillId="5" borderId="0" applyAlignment="1" pivotButton="0" quotePrefix="0" xfId="0">
      <alignment vertical="center" wrapText="1"/>
    </xf>
    <xf numFmtId="0" fontId="18" fillId="0" borderId="0" pivotButton="0" quotePrefix="0" xfId="0"/>
    <xf numFmtId="0" fontId="19" fillId="6" borderId="0" pivotButton="0" quotePrefix="0" xfId="0"/>
    <xf numFmtId="0" fontId="20" fillId="0" borderId="0" applyAlignment="1" pivotButton="0" quotePrefix="0" xfId="0">
      <alignment horizontal="center" vertical="center"/>
    </xf>
    <xf numFmtId="0" fontId="19" fillId="6" borderId="0" applyAlignment="1" pivotButton="0" quotePrefix="0" xfId="0">
      <alignment vertical="center" wrapText="1"/>
    </xf>
    <xf numFmtId="0" fontId="17" fillId="7" borderId="0" pivotButton="0" quotePrefix="0" xfId="0"/>
    <xf numFmtId="164" fontId="18" fillId="0" borderId="0" pivotButton="0" quotePrefix="0" xfId="0"/>
    <xf numFmtId="0" fontId="18" fillId="0" borderId="0" applyAlignment="1" pivotButton="0" quotePrefix="0" xfId="0">
      <alignment vertical="top" wrapText="1"/>
    </xf>
    <xf numFmtId="0" fontId="21" fillId="0" borderId="0" applyAlignment="1" pivotButton="0" quotePrefix="0" xfId="1">
      <alignment vertical="top" wrapText="1"/>
    </xf>
    <xf numFmtId="0" fontId="17" fillId="0" borderId="0" pivotButton="0" quotePrefix="0" xfId="0"/>
    <xf numFmtId="0" fontId="9" fillId="5" borderId="1" pivotButton="0" quotePrefix="0" xfId="0"/>
    <xf numFmtId="0" fontId="22" fillId="7" borderId="0" applyAlignment="1" pivotButton="0" quotePrefix="0" xfId="0">
      <alignment vertical="center" wrapText="1"/>
    </xf>
    <xf numFmtId="0" fontId="19" fillId="2" borderId="0" pivotButton="0" quotePrefix="0" xfId="0"/>
    <xf numFmtId="0" fontId="23" fillId="5" borderId="0" pivotButton="0" quotePrefix="0" xfId="0"/>
    <xf numFmtId="0" fontId="18" fillId="4" borderId="0" applyAlignment="1" pivotButton="0" quotePrefix="0" xfId="0">
      <alignment vertical="center" wrapText="1"/>
    </xf>
    <xf numFmtId="0" fontId="18" fillId="5" borderId="0" pivotButton="0" quotePrefix="0" xfId="0"/>
    <xf numFmtId="0" fontId="21" fillId="0" borderId="0" pivotButton="0" quotePrefix="0" xfId="1"/>
    <xf numFmtId="0" fontId="24" fillId="4" borderId="0" applyAlignment="1" pivotButton="0" quotePrefix="0" xfId="0">
      <alignment vertical="center" wrapText="1"/>
    </xf>
    <xf numFmtId="0" fontId="18" fillId="8" borderId="0" pivotButton="0" quotePrefix="0" xfId="0"/>
  </cellXfs>
  <cellStyles count="2">
    <cellStyle name="Normal" xfId="0" builtinId="0" hidden="0"/>
    <cellStyle name="Hyperlink" xfId="1" builtinId="8" hidden="0"/>
  </cellStyles>
  <dxfs count="4">
    <dxf>
      <fill>
        <patternFill patternType="solid">
          <fgColor rgb="0070AD47"/>
        </patternFill>
      </fill>
    </dxf>
    <dxf>
      <fill>
        <patternFill patternType="solid">
          <fgColor rgb="00FFD966"/>
        </patternFill>
      </fill>
    </dxf>
    <dxf>
      <fill>
        <patternFill patternType="solid">
          <fgColor rgb="00F4CCCC"/>
        </patternFill>
      </fill>
    </dxf>
    <dxf>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16 Sektörün Faaliyet Sayısı</a:t>
            </a:r>
          </a:p>
        </rich>
      </tx>
    </title>
    <plotArea>
      <barChart>
        <barDir val="bar"/>
        <grouping val="clustered"/>
        <ser>
          <idx val="0"/>
          <order val="0"/>
          <tx>
            <strRef>
              <f>'16 SEKTÖR'!C2</f>
            </strRef>
          </tx>
          <spPr>
            <a:ln xmlns:a="http://schemas.openxmlformats.org/drawingml/2006/main">
              <a:prstDash val="solid"/>
            </a:ln>
          </spPr>
          <cat>
            <numRef>
              <f>'16 SEKTÖR'!$B$3:$B$18</f>
            </numRef>
          </cat>
          <val>
            <numRef>
              <f>'16 SEKTÖR'!$C$3:$C$18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Faaliyet Türleri</a:t>
            </a:r>
          </a:p>
        </rich>
      </tx>
    </title>
    <plotArea>
      <pieChart>
        <varyColors val="1"/>
        <ser>
          <idx val="0"/>
          <order val="0"/>
          <tx>
            <strRef>
              <f>'DASHBOARD'!O2</f>
            </strRef>
          </tx>
          <spPr>
            <a:ln xmlns:a="http://schemas.openxmlformats.org/drawingml/2006/main">
              <a:prstDash val="solid"/>
            </a:ln>
          </spPr>
          <cat>
            <numRef>
              <f>'DASHBOARD'!$N$3:$N$6</f>
            </numRef>
          </cat>
          <val>
            <numRef>
              <f>'DASHBOARD'!$O$3:$O$6</f>
            </numRef>
          </val>
        </ser>
        <firstSliceAng val="0"/>
      </pie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Çevresel Hedef Dağılımı</a:t>
            </a:r>
          </a:p>
        </rich>
      </tx>
    </title>
    <plotArea>
      <barChart>
        <barDir val="col"/>
        <grouping val="clustered"/>
        <ser>
          <idx val="0"/>
          <order val="0"/>
          <spPr>
            <a:ln xmlns:a="http://schemas.openxmlformats.org/drawingml/2006/main">
              <a:prstDash val="solid"/>
            </a:ln>
          </spPr>
          <cat>
            <numRef>
              <f>'DASHBOARD'!$Q$3:$Q$8</f>
            </numRef>
          </cat>
          <val>
            <numRef>
              <f>'DASHBOARD'!$R$2:$R$8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Şirket Hazırlık Durumu</a:t>
            </a:r>
          </a:p>
        </rich>
      </tx>
    </title>
    <plotArea>
      <doughnutChart>
        <varyColors val="1"/>
        <ser>
          <idx val="0"/>
          <order val="0"/>
          <tx>
            <strRef>
              <f>'DASHBOARD'!O9</f>
            </strRef>
          </tx>
          <spPr>
            <a:ln xmlns:a="http://schemas.openxmlformats.org/drawingml/2006/main">
              <a:prstDash val="solid"/>
            </a:ln>
          </spPr>
          <cat>
            <numRef>
              <f>'DASHBOARD'!$N$10:$N$13</f>
            </numRef>
          </cat>
          <val>
            <numRef>
              <f>'DASHBOARD'!$O$10:$O$13</f>
            </numRef>
          </val>
        </ser>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12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12</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30</row>
      <rowOff>0</rowOff>
    </from>
    <ext cx="540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7</col>
      <colOff>0</colOff>
      <row>30</row>
      <rowOff>0</rowOff>
    </from>
    <ext cx="360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tblFaaliyetler" displayName="tblFaaliyetler" ref="A2:U139" headerRowCount="1">
  <autoFilter ref="A2:U139"/>
  <tableColumns count="21">
    <tableColumn id="1" name="Sıra No"/>
    <tableColumn id="2" name="Sektör No"/>
    <tableColumn id="3" name="Sektör"/>
    <tableColumn id="4" name="Faaliyet Kodu"/>
    <tableColumn id="5" name="Ekonomik Faaliyet Adı"/>
    <tableColumn id="6" name="Ekonomik Faaliyet Tanımı"/>
    <tableColumn id="7" name="NACE Kodu / Kodları (resmi kaynakta varsa)"/>
    <tableColumn id="8" name="Faaliyet Türü"/>
    <tableColumn id="9" name="Kolaylaştırıcı Faaliyet"/>
    <tableColumn id="10" name="Geçiş Faaliyeti"/>
    <tableColumn id="11" name="Sera gazı emisyonlarının azaltımı"/>
    <tableColumn id="12" name="İklim değişikliğine uyum"/>
    <tableColumn id="13" name="Su ve deniz kaynaklarının sürdürülebilir kullanımı ve korunması"/>
    <tableColumn id="14" name="Döngüsel ekonomiye geçiş"/>
    <tableColumn id="15" name="Kirliliğin önlenmesi ve kontrolü"/>
    <tableColumn id="16" name="Biyoçeşitliliğin ve ekosistemlerin korunması ile restorasyonu"/>
    <tableColumn id="17" name="Teknik Tarama Kriteri Mevcut mu?"/>
    <tableColumn id="18" name="Şirket İçin Temel Veri İhtiyacı"/>
    <tableColumn id="19" name="Muhtemel Kanıt / Belge"/>
    <tableColumn id="20" name="Açıklama"/>
    <tableColumn id="21" name="Kaynak"/>
  </tableColumns>
  <tableStyleInfo name="TableStyleMedium2" showFirstColumn="0" showLastColumn="0" showRowStripes="1"/>
</table>
</file>

<file path=xl/tables/table2.xml><?xml version="1.0" encoding="utf-8"?>
<table xmlns="http://schemas.openxmlformats.org/spreadsheetml/2006/main" id="2" name="tblSektorler" displayName="tblSektorler" ref="A2:I18" headerRowCount="1">
  <autoFilter ref="A2:I18"/>
  <tableColumns count="9">
    <tableColumn id="1" name="Sektör No"/>
    <tableColumn id="2" name="Sektör Adı"/>
    <tableColumn id="3" name="Ekonomik Faaliyet Sayısı"/>
    <tableColumn id="4" name="Ana Çevresel Hedef"/>
    <tableColumn id="5" name="İlgili Faaliyet Kodları"/>
    <tableColumn id="6" name="Kolaylaştırıcı Faaliyet Var mı?"/>
    <tableColumn id="7" name="Geçiş Faaliyeti Var mı?"/>
    <tableColumn id="8" name="Açıklama"/>
    <tableColumn id="9" name="Kaynak"/>
  </tableColumns>
  <tableStyleInfo name="TableStyleMedium2" showFirstColumn="0" showLastColumn="0" showRowStripes="1"/>
</table>
</file>

<file path=xl/tables/table3.xml><?xml version="1.0" encoding="utf-8"?>
<table xmlns="http://schemas.openxmlformats.org/spreadsheetml/2006/main" id="3" name="tblHedefler" displayName="tblHedefler" ref="A2:F8" headerRowCount="1">
  <autoFilter ref="A2:F8"/>
  <tableColumns count="6">
    <tableColumn id="1" name="Hedef No"/>
    <tableColumn id="2" name="Hedef Adı"/>
    <tableColumn id="3" name="Kısa Açıklama"/>
    <tableColumn id="4" name="Şirket Açısından Örnek Veri"/>
    <tableColumn id="5" name="Muhtemel Kanıt"/>
    <tableColumn id="6" name="İlgili Faaliyetler"/>
  </tableColumns>
  <tableStyleInfo name="TableStyleMedium2" showFirstColumn="0" showLastColumn="0" showRowStripes="1"/>
</table>
</file>

<file path=xl/tables/table4.xml><?xml version="1.0" encoding="utf-8"?>
<table xmlns="http://schemas.openxmlformats.org/spreadsheetml/2006/main" id="4" name="tblChecklist" displayName="tblChecklist" ref="A2:D23" headerRowCount="1">
  <autoFilter ref="A2:D23"/>
  <tableColumns count="4">
    <tableColumn id="1" name="No"/>
    <tableColumn id="2" name="Kontrol Maddesi"/>
    <tableColumn id="3" name="Durum"/>
    <tableColumn id="4" name="Not"/>
  </tableColumns>
  <tableStyleInfo name="TableStyleMedium2" showFirstColumn="0" showLastColumn="0" showRowStripes="1"/>
</table>
</file>

<file path=xl/tables/table5.xml><?xml version="1.0" encoding="utf-8"?>
<table xmlns="http://schemas.openxmlformats.org/spreadsheetml/2006/main" id="5" name="tblBelgeler" displayName="tblBelgeler" ref="A2:J32" headerRowCount="1">
  <autoFilter ref="A2:J32"/>
  <tableColumns count="10">
    <tableColumn id="1" name="Belge / Veri"/>
    <tableColumn id="2" name="Neden Gerekli?"/>
    <tableColumn id="3" name="İlgili Faaliyet"/>
    <tableColumn id="4" name="İlgili Çevresel Hedef"/>
    <tableColumn id="5" name="Mevcut mu?"/>
    <tableColumn id="6" name="Dosya / Referans"/>
    <tableColumn id="7" name="Sorumlu Birim"/>
    <tableColumn id="8" name="Son Güncelleme"/>
    <tableColumn id="9" name="Eksik / Tam"/>
    <tableColumn id="10" name="Not"/>
  </tableColumns>
  <tableStyleInfo name="TableStyleMedium2" showFirstColumn="0" showLastColumn="0" showRowStripes="1"/>
</table>
</file>

<file path=xl/tables/table6.xml><?xml version="1.0" encoding="utf-8"?>
<table xmlns="http://schemas.openxmlformats.org/spreadsheetml/2006/main" id="6" name="tblTakvim" displayName="tblTakvim" ref="A2:E5" headerRowCount="1">
  <autoFilter ref="A2:E5"/>
  <tableColumns count="5">
    <tableColumn id="1" name="Tarih"/>
    <tableColumn id="2" name="Kapsam"/>
    <tableColumn id="3" name="Durum"/>
    <tableColumn id="4" name="Açıklama"/>
    <tableColumn id="5" name="Kaynak"/>
  </tableColumns>
  <tableStyleInfo name="TableStyleMedium2" showFirstColumn="0" showLastColumn="0" showRowStripes="1"/>
</table>
</file>

<file path=xl/tables/table7.xml><?xml version="1.0" encoding="utf-8"?>
<table xmlns="http://schemas.openxmlformats.org/spreadsheetml/2006/main" id="7" name="tblKaynaklar" displayName="tblKaynaklar" ref="A2:D7" headerRowCount="1">
  <autoFilter ref="A2:D7"/>
  <tableColumns count="4">
    <tableColumn id="1" name="No"/>
    <tableColumn id="2" name="Kaynak"/>
    <tableColumn id="3" name="Bağlantı"/>
    <tableColumn id="4" name="Kullanım Notu"/>
  </tableColumns>
  <tableStyleInfo name="TableStyleMedium2" showFirstColumn="0" showLa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resmigazete.gov.tr/eskiler/2026/09/20260924-1-1.pdf" TargetMode="External" Id="rId1"/><Relationship Type="http://schemas.openxmlformats.org/officeDocument/2006/relationships/hyperlink" Target="https://www.resmigazete.gov.tr/eskiler/2026/09/20260924-1-1.pdf" TargetMode="External" Id="rId2"/><Relationship Type="http://schemas.openxmlformats.org/officeDocument/2006/relationships/hyperlink" Target="https://www.resmigazete.gov.tr/eskiler/2026/09/20260924-1-1.pdf" TargetMode="External" Id="rId3"/><Relationship Type="http://schemas.openxmlformats.org/officeDocument/2006/relationships/hyperlink" Target="https://www.resmigazete.gov.tr/eskiler/2026/09/20260924-1-1.pdf" TargetMode="External" Id="rId4"/><Relationship Type="http://schemas.openxmlformats.org/officeDocument/2006/relationships/hyperlink" Target="https://www.resmigazete.gov.tr/eskiler/2026/09/20260924-1-1.pdf" TargetMode="External" Id="rId5"/><Relationship Type="http://schemas.openxmlformats.org/officeDocument/2006/relationships/hyperlink" Target="https://www.resmigazete.gov.tr/eskiler/2026/09/20260924-1-1.pdf" TargetMode="External" Id="rId6"/><Relationship Type="http://schemas.openxmlformats.org/officeDocument/2006/relationships/hyperlink" Target="https://www.resmigazete.gov.tr/eskiler/2026/09/20260924-1-1.pdf" TargetMode="External" Id="rId7"/><Relationship Type="http://schemas.openxmlformats.org/officeDocument/2006/relationships/hyperlink" Target="https://www.resmigazete.gov.tr/eskiler/2026/09/20260924-1-1.pdf" TargetMode="External" Id="rId8"/><Relationship Type="http://schemas.openxmlformats.org/officeDocument/2006/relationships/hyperlink" Target="https://www.resmigazete.gov.tr/eskiler/2026/09/20260924-1-1.pdf" TargetMode="External" Id="rId9"/><Relationship Type="http://schemas.openxmlformats.org/officeDocument/2006/relationships/hyperlink" Target="https://www.resmigazete.gov.tr/eskiler/2026/09/20260924-1-1.pdf" TargetMode="External" Id="rId10"/><Relationship Type="http://schemas.openxmlformats.org/officeDocument/2006/relationships/hyperlink" Target="https://www.resmigazete.gov.tr/eskiler/2026/09/20260924-1-1.pdf" TargetMode="External" Id="rId11"/><Relationship Type="http://schemas.openxmlformats.org/officeDocument/2006/relationships/hyperlink" Target="https://www.resmigazete.gov.tr/eskiler/2026/09/20260924-1-1.pdf" TargetMode="External" Id="rId12"/><Relationship Type="http://schemas.openxmlformats.org/officeDocument/2006/relationships/hyperlink" Target="https://www.resmigazete.gov.tr/eskiler/2026/09/20260924-1-1.pdf" TargetMode="External" Id="rId13"/><Relationship Type="http://schemas.openxmlformats.org/officeDocument/2006/relationships/hyperlink" Target="https://www.resmigazete.gov.tr/eskiler/2026/09/20260924-1-1.pdf" TargetMode="External" Id="rId14"/><Relationship Type="http://schemas.openxmlformats.org/officeDocument/2006/relationships/hyperlink" Target="https://www.resmigazete.gov.tr/eskiler/2026/09/20260924-1-1.pdf" TargetMode="External" Id="rId15"/><Relationship Type="http://schemas.openxmlformats.org/officeDocument/2006/relationships/hyperlink" Target="https://www.resmigazete.gov.tr/eskiler/2026/09/20260924-1-1.pdf" TargetMode="External" Id="rId16"/><Relationship Type="http://schemas.openxmlformats.org/officeDocument/2006/relationships/hyperlink" Target="https://www.resmigazete.gov.tr/eskiler/2026/09/20260924-1-1.pdf" TargetMode="External" Id="rId17"/><Relationship Type="http://schemas.openxmlformats.org/officeDocument/2006/relationships/hyperlink" Target="https://www.resmigazete.gov.tr/eskiler/2026/09/20260924-1-1.pdf" TargetMode="External" Id="rId18"/><Relationship Type="http://schemas.openxmlformats.org/officeDocument/2006/relationships/hyperlink" Target="https://www.resmigazete.gov.tr/eskiler/2026/09/20260924-1-1.pdf" TargetMode="External" Id="rId19"/><Relationship Type="http://schemas.openxmlformats.org/officeDocument/2006/relationships/hyperlink" Target="https://www.resmigazete.gov.tr/eskiler/2026/09/20260924-1-1.pdf" TargetMode="External" Id="rId20"/><Relationship Type="http://schemas.openxmlformats.org/officeDocument/2006/relationships/hyperlink" Target="https://www.resmigazete.gov.tr/eskiler/2026/09/20260924-1-1.pdf" TargetMode="External" Id="rId21"/><Relationship Type="http://schemas.openxmlformats.org/officeDocument/2006/relationships/hyperlink" Target="https://www.resmigazete.gov.tr/eskiler/2026/09/20260924-1-1.pdf" TargetMode="External" Id="rId22"/><Relationship Type="http://schemas.openxmlformats.org/officeDocument/2006/relationships/hyperlink" Target="https://www.resmigazete.gov.tr/eskiler/2026/09/20260924-1-1.pdf" TargetMode="External" Id="rId23"/><Relationship Type="http://schemas.openxmlformats.org/officeDocument/2006/relationships/hyperlink" Target="https://www.resmigazete.gov.tr/eskiler/2026/09/20260924-1-1.pdf" TargetMode="External" Id="rId24"/><Relationship Type="http://schemas.openxmlformats.org/officeDocument/2006/relationships/hyperlink" Target="https://www.resmigazete.gov.tr/eskiler/2026/09/20260924-1-1.pdf" TargetMode="External" Id="rId25"/><Relationship Type="http://schemas.openxmlformats.org/officeDocument/2006/relationships/hyperlink" Target="https://www.resmigazete.gov.tr/eskiler/2026/09/20260924-1-1.pdf" TargetMode="External" Id="rId26"/><Relationship Type="http://schemas.openxmlformats.org/officeDocument/2006/relationships/hyperlink" Target="https://www.resmigazete.gov.tr/eskiler/2026/09/20260924-1-1.pdf" TargetMode="External" Id="rId27"/><Relationship Type="http://schemas.openxmlformats.org/officeDocument/2006/relationships/hyperlink" Target="https://www.resmigazete.gov.tr/eskiler/2026/09/20260924-1-1.pdf" TargetMode="External" Id="rId28"/><Relationship Type="http://schemas.openxmlformats.org/officeDocument/2006/relationships/hyperlink" Target="https://www.resmigazete.gov.tr/eskiler/2026/09/20260924-1-1.pdf" TargetMode="External" Id="rId29"/><Relationship Type="http://schemas.openxmlformats.org/officeDocument/2006/relationships/hyperlink" Target="https://www.resmigazete.gov.tr/eskiler/2026/09/20260924-1-1.pdf" TargetMode="External" Id="rId30"/><Relationship Type="http://schemas.openxmlformats.org/officeDocument/2006/relationships/hyperlink" Target="https://www.resmigazete.gov.tr/eskiler/2026/09/20260924-1-1.pdf" TargetMode="External" Id="rId31"/><Relationship Type="http://schemas.openxmlformats.org/officeDocument/2006/relationships/hyperlink" Target="https://www.resmigazete.gov.tr/eskiler/2026/09/20260924-1-1.pdf" TargetMode="External" Id="rId32"/><Relationship Type="http://schemas.openxmlformats.org/officeDocument/2006/relationships/hyperlink" Target="https://www.resmigazete.gov.tr/eskiler/2026/09/20260924-1-1.pdf" TargetMode="External" Id="rId33"/><Relationship Type="http://schemas.openxmlformats.org/officeDocument/2006/relationships/hyperlink" Target="https://www.resmigazete.gov.tr/eskiler/2026/09/20260924-1-1.pdf" TargetMode="External" Id="rId34"/><Relationship Type="http://schemas.openxmlformats.org/officeDocument/2006/relationships/hyperlink" Target="https://www.resmigazete.gov.tr/eskiler/2026/09/20260924-1-1.pdf" TargetMode="External" Id="rId35"/><Relationship Type="http://schemas.openxmlformats.org/officeDocument/2006/relationships/hyperlink" Target="https://www.resmigazete.gov.tr/eskiler/2026/09/20260924-1-1.pdf" TargetMode="External" Id="rId36"/><Relationship Type="http://schemas.openxmlformats.org/officeDocument/2006/relationships/hyperlink" Target="https://www.resmigazete.gov.tr/eskiler/2026/09/20260924-1-1.pdf" TargetMode="External" Id="rId37"/><Relationship Type="http://schemas.openxmlformats.org/officeDocument/2006/relationships/hyperlink" Target="https://www.resmigazete.gov.tr/eskiler/2026/09/20260924-1-1.pdf" TargetMode="External" Id="rId38"/><Relationship Type="http://schemas.openxmlformats.org/officeDocument/2006/relationships/hyperlink" Target="https://www.resmigazete.gov.tr/eskiler/2026/09/20260924-1-1.pdf" TargetMode="External" Id="rId39"/><Relationship Type="http://schemas.openxmlformats.org/officeDocument/2006/relationships/hyperlink" Target="https://www.resmigazete.gov.tr/eskiler/2026/09/20260924-1-1.pdf" TargetMode="External" Id="rId40"/><Relationship Type="http://schemas.openxmlformats.org/officeDocument/2006/relationships/hyperlink" Target="https://www.resmigazete.gov.tr/eskiler/2026/09/20260924-1-1.pdf" TargetMode="External" Id="rId41"/><Relationship Type="http://schemas.openxmlformats.org/officeDocument/2006/relationships/hyperlink" Target="https://www.resmigazete.gov.tr/eskiler/2026/09/20260924-1-1.pdf" TargetMode="External" Id="rId42"/><Relationship Type="http://schemas.openxmlformats.org/officeDocument/2006/relationships/hyperlink" Target="https://www.resmigazete.gov.tr/eskiler/2026/09/20260924-1-1.pdf" TargetMode="External" Id="rId43"/><Relationship Type="http://schemas.openxmlformats.org/officeDocument/2006/relationships/hyperlink" Target="https://www.resmigazete.gov.tr/eskiler/2026/09/20260924-1-1.pdf" TargetMode="External" Id="rId44"/><Relationship Type="http://schemas.openxmlformats.org/officeDocument/2006/relationships/hyperlink" Target="https://www.resmigazete.gov.tr/eskiler/2026/09/20260924-1-1.pdf" TargetMode="External" Id="rId45"/><Relationship Type="http://schemas.openxmlformats.org/officeDocument/2006/relationships/hyperlink" Target="https://www.resmigazete.gov.tr/eskiler/2026/09/20260924-1-1.pdf" TargetMode="External" Id="rId46"/><Relationship Type="http://schemas.openxmlformats.org/officeDocument/2006/relationships/hyperlink" Target="https://www.resmigazete.gov.tr/eskiler/2026/09/20260924-1-1.pdf" TargetMode="External" Id="rId47"/><Relationship Type="http://schemas.openxmlformats.org/officeDocument/2006/relationships/hyperlink" Target="https://www.resmigazete.gov.tr/eskiler/2026/09/20260924-1-1.pdf" TargetMode="External" Id="rId48"/><Relationship Type="http://schemas.openxmlformats.org/officeDocument/2006/relationships/hyperlink" Target="https://www.resmigazete.gov.tr/eskiler/2026/09/20260924-1-1.pdf" TargetMode="External" Id="rId49"/><Relationship Type="http://schemas.openxmlformats.org/officeDocument/2006/relationships/hyperlink" Target="https://www.resmigazete.gov.tr/eskiler/2026/09/20260924-1-1.pdf" TargetMode="External" Id="rId50"/><Relationship Type="http://schemas.openxmlformats.org/officeDocument/2006/relationships/hyperlink" Target="https://www.resmigazete.gov.tr/eskiler/2026/09/20260924-1-1.pdf" TargetMode="External" Id="rId51"/><Relationship Type="http://schemas.openxmlformats.org/officeDocument/2006/relationships/hyperlink" Target="https://www.resmigazete.gov.tr/eskiler/2026/09/20260924-1-1.pdf" TargetMode="External" Id="rId52"/><Relationship Type="http://schemas.openxmlformats.org/officeDocument/2006/relationships/hyperlink" Target="https://www.resmigazete.gov.tr/eskiler/2026/09/20260924-1-1.pdf" TargetMode="External" Id="rId53"/><Relationship Type="http://schemas.openxmlformats.org/officeDocument/2006/relationships/hyperlink" Target="https://www.resmigazete.gov.tr/eskiler/2026/09/20260924-1-1.pdf" TargetMode="External" Id="rId54"/><Relationship Type="http://schemas.openxmlformats.org/officeDocument/2006/relationships/hyperlink" Target="https://www.resmigazete.gov.tr/eskiler/2026/09/20260924-1-1.pdf" TargetMode="External" Id="rId55"/><Relationship Type="http://schemas.openxmlformats.org/officeDocument/2006/relationships/hyperlink" Target="https://www.resmigazete.gov.tr/eskiler/2026/09/20260924-1-1.pdf" TargetMode="External" Id="rId56"/><Relationship Type="http://schemas.openxmlformats.org/officeDocument/2006/relationships/hyperlink" Target="https://www.resmigazete.gov.tr/eskiler/2026/09/20260924-1-1.pdf" TargetMode="External" Id="rId57"/><Relationship Type="http://schemas.openxmlformats.org/officeDocument/2006/relationships/hyperlink" Target="https://www.resmigazete.gov.tr/eskiler/2026/09/20260924-1-1.pdf" TargetMode="External" Id="rId58"/><Relationship Type="http://schemas.openxmlformats.org/officeDocument/2006/relationships/hyperlink" Target="https://www.resmigazete.gov.tr/eskiler/2026/09/20260924-1-1.pdf" TargetMode="External" Id="rId59"/><Relationship Type="http://schemas.openxmlformats.org/officeDocument/2006/relationships/hyperlink" Target="https://www.resmigazete.gov.tr/eskiler/2026/09/20260924-1-1.pdf" TargetMode="External" Id="rId60"/><Relationship Type="http://schemas.openxmlformats.org/officeDocument/2006/relationships/hyperlink" Target="https://www.resmigazete.gov.tr/eskiler/2026/09/20260924-1-1.pdf" TargetMode="External" Id="rId61"/><Relationship Type="http://schemas.openxmlformats.org/officeDocument/2006/relationships/hyperlink" Target="https://www.resmigazete.gov.tr/eskiler/2026/09/20260924-1-1.pdf" TargetMode="External" Id="rId62"/><Relationship Type="http://schemas.openxmlformats.org/officeDocument/2006/relationships/hyperlink" Target="https://www.resmigazete.gov.tr/eskiler/2026/09/20260924-1-1.pdf" TargetMode="External" Id="rId63"/><Relationship Type="http://schemas.openxmlformats.org/officeDocument/2006/relationships/hyperlink" Target="https://www.resmigazete.gov.tr/eskiler/2026/09/20260924-1-1.pdf" TargetMode="External" Id="rId64"/><Relationship Type="http://schemas.openxmlformats.org/officeDocument/2006/relationships/hyperlink" Target="https://www.resmigazete.gov.tr/eskiler/2026/09/20260924-1-1.pdf" TargetMode="External" Id="rId65"/><Relationship Type="http://schemas.openxmlformats.org/officeDocument/2006/relationships/hyperlink" Target="https://www.resmigazete.gov.tr/eskiler/2026/09/20260924-1-1.pdf" TargetMode="External" Id="rId66"/><Relationship Type="http://schemas.openxmlformats.org/officeDocument/2006/relationships/hyperlink" Target="https://www.resmigazete.gov.tr/eskiler/2026/09/20260924-1-1.pdf" TargetMode="External" Id="rId67"/><Relationship Type="http://schemas.openxmlformats.org/officeDocument/2006/relationships/hyperlink" Target="https://www.resmigazete.gov.tr/eskiler/2026/09/20260924-1-1.pdf" TargetMode="External" Id="rId68"/><Relationship Type="http://schemas.openxmlformats.org/officeDocument/2006/relationships/hyperlink" Target="https://www.resmigazete.gov.tr/eskiler/2026/09/20260924-1-1.pdf" TargetMode="External" Id="rId69"/><Relationship Type="http://schemas.openxmlformats.org/officeDocument/2006/relationships/hyperlink" Target="https://www.resmigazete.gov.tr/eskiler/2026/09/20260924-1-1.pdf" TargetMode="External" Id="rId70"/><Relationship Type="http://schemas.openxmlformats.org/officeDocument/2006/relationships/hyperlink" Target="https://www.resmigazete.gov.tr/eskiler/2026/09/20260924-1-1.pdf" TargetMode="External" Id="rId71"/><Relationship Type="http://schemas.openxmlformats.org/officeDocument/2006/relationships/hyperlink" Target="https://www.resmigazete.gov.tr/eskiler/2026/09/20260924-1-1.pdf" TargetMode="External" Id="rId72"/><Relationship Type="http://schemas.openxmlformats.org/officeDocument/2006/relationships/hyperlink" Target="https://www.resmigazete.gov.tr/eskiler/2026/09/20260924-1-1.pdf" TargetMode="External" Id="rId73"/><Relationship Type="http://schemas.openxmlformats.org/officeDocument/2006/relationships/hyperlink" Target="https://www.resmigazete.gov.tr/eskiler/2026/09/20260924-1-1.pdf" TargetMode="External" Id="rId74"/><Relationship Type="http://schemas.openxmlformats.org/officeDocument/2006/relationships/hyperlink" Target="https://www.resmigazete.gov.tr/eskiler/2026/09/20260924-1-1.pdf" TargetMode="External" Id="rId75"/><Relationship Type="http://schemas.openxmlformats.org/officeDocument/2006/relationships/hyperlink" Target="https://www.resmigazete.gov.tr/eskiler/2026/09/20260924-1-1.pdf" TargetMode="External" Id="rId76"/><Relationship Type="http://schemas.openxmlformats.org/officeDocument/2006/relationships/hyperlink" Target="https://www.resmigazete.gov.tr/eskiler/2026/09/20260924-1-1.pdf" TargetMode="External" Id="rId77"/><Relationship Type="http://schemas.openxmlformats.org/officeDocument/2006/relationships/hyperlink" Target="https://www.resmigazete.gov.tr/eskiler/2026/09/20260924-1-1.pdf" TargetMode="External" Id="rId78"/><Relationship Type="http://schemas.openxmlformats.org/officeDocument/2006/relationships/hyperlink" Target="https://www.resmigazete.gov.tr/eskiler/2026/09/20260924-1-1.pdf" TargetMode="External" Id="rId79"/><Relationship Type="http://schemas.openxmlformats.org/officeDocument/2006/relationships/hyperlink" Target="https://www.resmigazete.gov.tr/eskiler/2026/09/20260924-1-1.pdf" TargetMode="External" Id="rId80"/><Relationship Type="http://schemas.openxmlformats.org/officeDocument/2006/relationships/hyperlink" Target="https://www.resmigazete.gov.tr/eskiler/2026/09/20260924-1-1.pdf" TargetMode="External" Id="rId81"/><Relationship Type="http://schemas.openxmlformats.org/officeDocument/2006/relationships/hyperlink" Target="https://www.resmigazete.gov.tr/eskiler/2026/09/20260924-1-1.pdf" TargetMode="External" Id="rId82"/><Relationship Type="http://schemas.openxmlformats.org/officeDocument/2006/relationships/hyperlink" Target="https://www.resmigazete.gov.tr/eskiler/2026/09/20260924-1-1.pdf" TargetMode="External" Id="rId83"/><Relationship Type="http://schemas.openxmlformats.org/officeDocument/2006/relationships/hyperlink" Target="https://www.resmigazete.gov.tr/eskiler/2026/09/20260924-1-1.pdf" TargetMode="External" Id="rId84"/><Relationship Type="http://schemas.openxmlformats.org/officeDocument/2006/relationships/hyperlink" Target="https://www.resmigazete.gov.tr/eskiler/2026/09/20260924-1-1.pdf" TargetMode="External" Id="rId85"/><Relationship Type="http://schemas.openxmlformats.org/officeDocument/2006/relationships/hyperlink" Target="https://www.resmigazete.gov.tr/eskiler/2026/09/20260924-1-1.pdf" TargetMode="External" Id="rId86"/><Relationship Type="http://schemas.openxmlformats.org/officeDocument/2006/relationships/hyperlink" Target="https://www.resmigazete.gov.tr/eskiler/2026/09/20260924-1-1.pdf" TargetMode="External" Id="rId87"/><Relationship Type="http://schemas.openxmlformats.org/officeDocument/2006/relationships/hyperlink" Target="https://www.resmigazete.gov.tr/eskiler/2026/09/20260924-1-1.pdf" TargetMode="External" Id="rId88"/><Relationship Type="http://schemas.openxmlformats.org/officeDocument/2006/relationships/hyperlink" Target="https://www.resmigazete.gov.tr/eskiler/2026/09/20260924-1-1.pdf" TargetMode="External" Id="rId89"/><Relationship Type="http://schemas.openxmlformats.org/officeDocument/2006/relationships/hyperlink" Target="https://www.resmigazete.gov.tr/eskiler/2026/09/20260924-1-1.pdf" TargetMode="External" Id="rId90"/><Relationship Type="http://schemas.openxmlformats.org/officeDocument/2006/relationships/hyperlink" Target="https://www.resmigazete.gov.tr/eskiler/2026/09/20260924-1-1.pdf" TargetMode="External" Id="rId91"/><Relationship Type="http://schemas.openxmlformats.org/officeDocument/2006/relationships/hyperlink" Target="https://www.resmigazete.gov.tr/eskiler/2026/09/20260924-1-1.pdf" TargetMode="External" Id="rId92"/><Relationship Type="http://schemas.openxmlformats.org/officeDocument/2006/relationships/hyperlink" Target="https://www.resmigazete.gov.tr/eskiler/2026/09/20260924-1-1.pdf" TargetMode="External" Id="rId93"/><Relationship Type="http://schemas.openxmlformats.org/officeDocument/2006/relationships/hyperlink" Target="https://www.resmigazete.gov.tr/eskiler/2026/09/20260924-1-1.pdf" TargetMode="External" Id="rId94"/><Relationship Type="http://schemas.openxmlformats.org/officeDocument/2006/relationships/hyperlink" Target="https://www.resmigazete.gov.tr/eskiler/2026/09/20260924-1-1.pdf" TargetMode="External" Id="rId95"/><Relationship Type="http://schemas.openxmlformats.org/officeDocument/2006/relationships/hyperlink" Target="https://www.resmigazete.gov.tr/eskiler/2026/09/20260924-1-1.pdf" TargetMode="External" Id="rId96"/><Relationship Type="http://schemas.openxmlformats.org/officeDocument/2006/relationships/hyperlink" Target="https://www.resmigazete.gov.tr/eskiler/2026/09/20260924-1-1.pdf" TargetMode="External" Id="rId97"/><Relationship Type="http://schemas.openxmlformats.org/officeDocument/2006/relationships/hyperlink" Target="https://www.resmigazete.gov.tr/eskiler/2026/09/20260924-1-1.pdf" TargetMode="External" Id="rId98"/><Relationship Type="http://schemas.openxmlformats.org/officeDocument/2006/relationships/hyperlink" Target="https://www.resmigazete.gov.tr/eskiler/2026/09/20260924-1-1.pdf" TargetMode="External" Id="rId99"/><Relationship Type="http://schemas.openxmlformats.org/officeDocument/2006/relationships/hyperlink" Target="https://www.resmigazete.gov.tr/eskiler/2026/09/20260924-1-1.pdf" TargetMode="External" Id="rId100"/><Relationship Type="http://schemas.openxmlformats.org/officeDocument/2006/relationships/hyperlink" Target="https://www.resmigazete.gov.tr/eskiler/2026/09/20260924-1-1.pdf" TargetMode="External" Id="rId101"/><Relationship Type="http://schemas.openxmlformats.org/officeDocument/2006/relationships/hyperlink" Target="https://www.resmigazete.gov.tr/eskiler/2026/09/20260924-1-1.pdf" TargetMode="External" Id="rId102"/><Relationship Type="http://schemas.openxmlformats.org/officeDocument/2006/relationships/hyperlink" Target="https://www.resmigazete.gov.tr/eskiler/2026/09/20260924-1-1.pdf" TargetMode="External" Id="rId103"/><Relationship Type="http://schemas.openxmlformats.org/officeDocument/2006/relationships/hyperlink" Target="https://www.resmigazete.gov.tr/eskiler/2026/09/20260924-1-1.pdf" TargetMode="External" Id="rId104"/><Relationship Type="http://schemas.openxmlformats.org/officeDocument/2006/relationships/hyperlink" Target="https://www.resmigazete.gov.tr/eskiler/2026/09/20260924-1-1.pdf" TargetMode="External" Id="rId105"/><Relationship Type="http://schemas.openxmlformats.org/officeDocument/2006/relationships/hyperlink" Target="https://www.resmigazete.gov.tr/eskiler/2026/09/20260924-1-1.pdf" TargetMode="External" Id="rId106"/><Relationship Type="http://schemas.openxmlformats.org/officeDocument/2006/relationships/hyperlink" Target="https://www.resmigazete.gov.tr/eskiler/2026/09/20260924-1-1.pdf" TargetMode="External" Id="rId107"/><Relationship Type="http://schemas.openxmlformats.org/officeDocument/2006/relationships/hyperlink" Target="https://www.resmigazete.gov.tr/eskiler/2026/09/20260924-1-1.pdf" TargetMode="External" Id="rId108"/><Relationship Type="http://schemas.openxmlformats.org/officeDocument/2006/relationships/hyperlink" Target="https://www.resmigazete.gov.tr/eskiler/2026/09/20260924-1-1.pdf" TargetMode="External" Id="rId109"/><Relationship Type="http://schemas.openxmlformats.org/officeDocument/2006/relationships/hyperlink" Target="https://www.resmigazete.gov.tr/eskiler/2026/09/20260924-1-1.pdf" TargetMode="External" Id="rId110"/><Relationship Type="http://schemas.openxmlformats.org/officeDocument/2006/relationships/hyperlink" Target="https://www.resmigazete.gov.tr/eskiler/2026/09/20260924-1-1.pdf" TargetMode="External" Id="rId111"/><Relationship Type="http://schemas.openxmlformats.org/officeDocument/2006/relationships/hyperlink" Target="https://www.resmigazete.gov.tr/eskiler/2026/09/20260924-1-1.pdf" TargetMode="External" Id="rId112"/><Relationship Type="http://schemas.openxmlformats.org/officeDocument/2006/relationships/hyperlink" Target="https://www.resmigazete.gov.tr/eskiler/2026/09/20260924-1-1.pdf" TargetMode="External" Id="rId113"/><Relationship Type="http://schemas.openxmlformats.org/officeDocument/2006/relationships/hyperlink" Target="https://www.resmigazete.gov.tr/eskiler/2026/09/20260924-1-1.pdf" TargetMode="External" Id="rId114"/><Relationship Type="http://schemas.openxmlformats.org/officeDocument/2006/relationships/hyperlink" Target="https://www.resmigazete.gov.tr/eskiler/2026/09/20260924-1-1.pdf" TargetMode="External" Id="rId115"/><Relationship Type="http://schemas.openxmlformats.org/officeDocument/2006/relationships/hyperlink" Target="https://www.resmigazete.gov.tr/eskiler/2026/09/20260924-1-1.pdf" TargetMode="External" Id="rId116"/><Relationship Type="http://schemas.openxmlformats.org/officeDocument/2006/relationships/hyperlink" Target="https://www.resmigazete.gov.tr/eskiler/2026/09/20260924-1-1.pdf" TargetMode="External" Id="rId117"/><Relationship Type="http://schemas.openxmlformats.org/officeDocument/2006/relationships/hyperlink" Target="https://www.resmigazete.gov.tr/eskiler/2026/09/20260924-1-1.pdf" TargetMode="External" Id="rId118"/><Relationship Type="http://schemas.openxmlformats.org/officeDocument/2006/relationships/hyperlink" Target="https://www.resmigazete.gov.tr/eskiler/2026/09/20260924-1-1.pdf" TargetMode="External" Id="rId119"/><Relationship Type="http://schemas.openxmlformats.org/officeDocument/2006/relationships/hyperlink" Target="https://www.resmigazete.gov.tr/eskiler/2026/09/20260924-1-1.pdf" TargetMode="External" Id="rId120"/><Relationship Type="http://schemas.openxmlformats.org/officeDocument/2006/relationships/hyperlink" Target="https://www.resmigazete.gov.tr/eskiler/2026/09/20260924-1-1.pdf" TargetMode="External" Id="rId121"/><Relationship Type="http://schemas.openxmlformats.org/officeDocument/2006/relationships/hyperlink" Target="https://www.resmigazete.gov.tr/eskiler/2026/09/20260924-1-1.pdf" TargetMode="External" Id="rId122"/><Relationship Type="http://schemas.openxmlformats.org/officeDocument/2006/relationships/hyperlink" Target="https://www.resmigazete.gov.tr/eskiler/2026/09/20260924-1-1.pdf" TargetMode="External" Id="rId123"/><Relationship Type="http://schemas.openxmlformats.org/officeDocument/2006/relationships/hyperlink" Target="https://www.resmigazete.gov.tr/eskiler/2026/09/20260924-1-1.pdf" TargetMode="External" Id="rId124"/><Relationship Type="http://schemas.openxmlformats.org/officeDocument/2006/relationships/hyperlink" Target="https://www.resmigazete.gov.tr/eskiler/2026/09/20260924-1-1.pdf" TargetMode="External" Id="rId125"/><Relationship Type="http://schemas.openxmlformats.org/officeDocument/2006/relationships/hyperlink" Target="https://www.resmigazete.gov.tr/eskiler/2026/09/20260924-1-1.pdf" TargetMode="External" Id="rId126"/><Relationship Type="http://schemas.openxmlformats.org/officeDocument/2006/relationships/hyperlink" Target="https://www.resmigazete.gov.tr/eskiler/2026/09/20260924-1-1.pdf" TargetMode="External" Id="rId127"/><Relationship Type="http://schemas.openxmlformats.org/officeDocument/2006/relationships/hyperlink" Target="https://www.resmigazete.gov.tr/eskiler/2026/09/20260924-1-1.pdf" TargetMode="External" Id="rId128"/><Relationship Type="http://schemas.openxmlformats.org/officeDocument/2006/relationships/hyperlink" Target="https://www.resmigazete.gov.tr/eskiler/2026/09/20260924-1-1.pdf" TargetMode="External" Id="rId129"/><Relationship Type="http://schemas.openxmlformats.org/officeDocument/2006/relationships/hyperlink" Target="https://www.resmigazete.gov.tr/eskiler/2026/09/20260924-1-1.pdf" TargetMode="External" Id="rId130"/><Relationship Type="http://schemas.openxmlformats.org/officeDocument/2006/relationships/hyperlink" Target="https://www.resmigazete.gov.tr/eskiler/2026/09/20260924-1-1.pdf" TargetMode="External" Id="rId131"/><Relationship Type="http://schemas.openxmlformats.org/officeDocument/2006/relationships/hyperlink" Target="https://www.resmigazete.gov.tr/eskiler/2026/09/20260924-1-1.pdf" TargetMode="External" Id="rId132"/><Relationship Type="http://schemas.openxmlformats.org/officeDocument/2006/relationships/hyperlink" Target="https://www.resmigazete.gov.tr/eskiler/2026/09/20260924-1-1.pdf" TargetMode="External" Id="rId133"/><Relationship Type="http://schemas.openxmlformats.org/officeDocument/2006/relationships/hyperlink" Target="https://www.resmigazete.gov.tr/eskiler/2026/09/20260924-1-1.pdf" TargetMode="External" Id="rId134"/><Relationship Type="http://schemas.openxmlformats.org/officeDocument/2006/relationships/hyperlink" Target="https://www.resmigazete.gov.tr/eskiler/2026/09/20260924-1-1.pdf" TargetMode="External" Id="rId135"/><Relationship Type="http://schemas.openxmlformats.org/officeDocument/2006/relationships/hyperlink" Target="https://www.resmigazete.gov.tr/eskiler/2026/09/20260924-1-1.pdf" TargetMode="External" Id="rId136"/><Relationship Type="http://schemas.openxmlformats.org/officeDocument/2006/relationships/hyperlink" Target="https://www.resmigazete.gov.tr/eskiler/2026/09/20260924-1-1.pdf" TargetMode="External" Id="rId137"/><Relationship Type="http://schemas.openxmlformats.org/officeDocument/2006/relationships/table" Target="/xl/tables/table1.xml" Id="rId138"/></Relationships>
</file>

<file path=xl/worksheets/_rels/sheet4.xml.rels><Relationships xmlns="http://schemas.openxmlformats.org/package/2006/relationships"><Relationship Type="http://schemas.openxmlformats.org/officeDocument/2006/relationships/hyperlink" Target="https://www.resmigazete.gov.tr/eskiler/2026/09/20260924-1-1.pdf" TargetMode="External" Id="rId1"/><Relationship Type="http://schemas.openxmlformats.org/officeDocument/2006/relationships/hyperlink" Target="https://www.resmigazete.gov.tr/eskiler/2026/09/20260924-1-1.pdf" TargetMode="External" Id="rId2"/><Relationship Type="http://schemas.openxmlformats.org/officeDocument/2006/relationships/hyperlink" Target="https://www.resmigazete.gov.tr/eskiler/2026/09/20260924-1-1.pdf" TargetMode="External" Id="rId3"/><Relationship Type="http://schemas.openxmlformats.org/officeDocument/2006/relationships/hyperlink" Target="https://www.resmigazete.gov.tr/eskiler/2026/09/20260924-1-1.pdf" TargetMode="External" Id="rId4"/><Relationship Type="http://schemas.openxmlformats.org/officeDocument/2006/relationships/hyperlink" Target="https://www.resmigazete.gov.tr/eskiler/2026/09/20260924-1-1.pdf" TargetMode="External" Id="rId5"/><Relationship Type="http://schemas.openxmlformats.org/officeDocument/2006/relationships/hyperlink" Target="https://www.resmigazete.gov.tr/eskiler/2026/09/20260924-1-1.pdf" TargetMode="External" Id="rId6"/><Relationship Type="http://schemas.openxmlformats.org/officeDocument/2006/relationships/hyperlink" Target="https://www.resmigazete.gov.tr/eskiler/2026/09/20260924-1-1.pdf" TargetMode="External" Id="rId7"/><Relationship Type="http://schemas.openxmlformats.org/officeDocument/2006/relationships/hyperlink" Target="https://www.resmigazete.gov.tr/eskiler/2026/09/20260924-1-1.pdf" TargetMode="External" Id="rId8"/><Relationship Type="http://schemas.openxmlformats.org/officeDocument/2006/relationships/hyperlink" Target="https://www.resmigazete.gov.tr/eskiler/2026/09/20260924-1-1.pdf" TargetMode="External" Id="rId9"/><Relationship Type="http://schemas.openxmlformats.org/officeDocument/2006/relationships/hyperlink" Target="https://www.resmigazete.gov.tr/eskiler/2026/09/20260924-1-1.pdf" TargetMode="External" Id="rId10"/><Relationship Type="http://schemas.openxmlformats.org/officeDocument/2006/relationships/hyperlink" Target="https://www.resmigazete.gov.tr/eskiler/2026/09/20260924-1-1.pdf" TargetMode="External" Id="rId11"/><Relationship Type="http://schemas.openxmlformats.org/officeDocument/2006/relationships/hyperlink" Target="https://www.resmigazete.gov.tr/eskiler/2026/09/20260924-1-1.pdf" TargetMode="External" Id="rId12"/><Relationship Type="http://schemas.openxmlformats.org/officeDocument/2006/relationships/hyperlink" Target="https://www.resmigazete.gov.tr/eskiler/2026/09/20260924-1-1.pdf" TargetMode="External" Id="rId13"/><Relationship Type="http://schemas.openxmlformats.org/officeDocument/2006/relationships/hyperlink" Target="https://www.resmigazete.gov.tr/eskiler/2026/09/20260924-1-1.pdf" TargetMode="External" Id="rId14"/><Relationship Type="http://schemas.openxmlformats.org/officeDocument/2006/relationships/hyperlink" Target="https://www.resmigazete.gov.tr/eskiler/2026/09/20260924-1-1.pdf" TargetMode="External" Id="rId15"/><Relationship Type="http://schemas.openxmlformats.org/officeDocument/2006/relationships/hyperlink" Target="https://www.resmigazete.gov.tr/eskiler/2026/09/20260924-1-1.pdf" TargetMode="External" Id="rId16"/><Relationship Type="http://schemas.openxmlformats.org/officeDocument/2006/relationships/table" Target="/xl/tables/table2.xml" Id="rId17"/></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hyperlink" Target="https://www.resmigazete.gov.tr/eskiler/2026/09/20260924-1.htm" TargetMode="External" Id="rId1"/><Relationship Type="http://schemas.openxmlformats.org/officeDocument/2006/relationships/hyperlink" Target="https://www.resmigazete.gov.tr/eskiler/2026/09/20260924-1.htm" TargetMode="External" Id="rId2"/><Relationship Type="http://schemas.openxmlformats.org/officeDocument/2006/relationships/hyperlink" Target="https://www.resmigazete.gov.tr/eskiler/2026/09/20260924-1.htm" TargetMode="External" Id="rId3"/><Relationship Type="http://schemas.openxmlformats.org/officeDocument/2006/relationships/table" Target="/xl/tables/table6.xml" Id="rId4"/></Relationships>
</file>

<file path=xl/worksheets/_rels/sheet12.xml.rels><Relationships xmlns="http://schemas.openxmlformats.org/package/2006/relationships"><Relationship Type="http://schemas.openxmlformats.org/officeDocument/2006/relationships/hyperlink" Target="https://www.resmigazete.gov.tr/eskiler/2026/09/20260924-1.htm" TargetMode="External" Id="rId1"/><Relationship Type="http://schemas.openxmlformats.org/officeDocument/2006/relationships/hyperlink" Target="https://www.resmigazete.gov.tr/eskiler/2026/09/20260924-1.htm" TargetMode="External" Id="rId2"/><Relationship Type="http://schemas.openxmlformats.org/officeDocument/2006/relationships/hyperlink" Target="https://www.resmigazete.gov.tr/eskiler/2026/09/20260924-1-1.pdf" TargetMode="External" Id="rId3"/><Relationship Type="http://schemas.openxmlformats.org/officeDocument/2006/relationships/hyperlink" Target="https://iklim.gov.tr/turkiye-yesil-taksonomisi-yonetmeligi-yayimlandi-haber-6008" TargetMode="External" Id="rId4"/><Relationship Type="http://schemas.openxmlformats.org/officeDocument/2006/relationships/hyperlink" Target="https://iklim.gov.tr/" TargetMode="External" Id="rId5"/><Relationship Type="http://schemas.openxmlformats.org/officeDocument/2006/relationships/table" Target="/xl/tables/table7.xml" Id="rId6"/></Relationships>
</file>

<file path=xl/worksheets/sheet1.xml><?xml version="1.0" encoding="utf-8"?>
<worksheet xmlns="http://schemas.openxmlformats.org/spreadsheetml/2006/main">
  <sheetPr>
    <outlinePr summaryBelow="1" summaryRight="1"/>
    <pageSetUpPr fitToPage="1"/>
  </sheetPr>
  <dimension ref="A1:H22"/>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30" customHeight="1">
      <c r="A1" s="1" t="inlineStr">
        <is>
          <t>TÜRKİYE YEŞİL TAKSONOMİSİ | ŞİRKET KONTROL VE ÖN DEĞERLENDİRME ARACI</t>
        </is>
      </c>
    </row>
    <row r="2"/>
    <row r="3">
      <c r="A3" s="2" t="inlineStr">
        <is>
          <t>16 Sektör | 137 Ekonomik Faaliyet</t>
        </is>
      </c>
    </row>
    <row r="4"/>
    <row r="5">
      <c r="A5" s="3" t="inlineStr">
        <is>
          <t>1. Şirketinizin ana faaliyetini yazın.</t>
        </is>
      </c>
    </row>
    <row r="6">
      <c r="A6" s="4" t="inlineStr">
        <is>
          <t>2. Sektörünüzü seçin.</t>
        </is>
      </c>
    </row>
    <row r="7">
      <c r="A7" s="4" t="inlineStr">
        <is>
          <t>3. Faaliyet listenizde eşleşen ekonomik faaliyeti bulun.</t>
        </is>
      </c>
    </row>
    <row r="8">
      <c r="A8" s="4" t="inlineStr">
        <is>
          <t>4. İlgili çevresel hedefleri ve hazırlık alanlarını inceleyin.</t>
        </is>
      </c>
    </row>
    <row r="9">
      <c r="A9" s="4" t="inlineStr">
        <is>
          <t>5. Eksik veri ve belgelerinizi belirleyin.</t>
        </is>
      </c>
    </row>
    <row r="10"/>
    <row r="11"/>
    <row r="12">
      <c r="A12" s="5" t="inlineStr">
        <is>
          <t>ÖNEMLİ:
Bu Excel hukuki uygunluk veya resmi taksonomi doğrulaması değildir.
Bir faaliyetin EK-1’de yer alması, faaliyetin otomatik olarak Türkiye Yeşil Taksonomisine Uyumlu olduğu anlamına gelmez.
Uyumluluk değerlendirmesi; ilgili teknik tarama kriterleri, önemli katkı, önemli zarar vermeme ve asgari sosyal koruma şartlarının birlikte değerlendirilmesini gerektirir.</t>
        </is>
      </c>
    </row>
    <row r="13"/>
    <row r="14"/>
    <row r="15"/>
    <row r="16"/>
    <row r="17"/>
    <row r="18"/>
    <row r="19">
      <c r="A19" s="6" t="inlineStr">
        <is>
          <t>TEMEL AYRIM
UYGUN EKONOMİK FAALİYET: EK-1 kapsamında değerlendirmeye girebilen faaliyet.
TAKSONOMİYE UYUMLU EKONOMİK FAALİYET: Teknik tarama kriterleri + önemli katkı + DNSH + asgari sosyal koruma şartlarını birlikte sağlayan faaliyet.</t>
        </is>
      </c>
    </row>
    <row r="20"/>
    <row r="21"/>
    <row r="22"/>
  </sheetData>
  <mergeCells count="9">
    <mergeCell ref="A1:H1"/>
    <mergeCell ref="A9:H9"/>
    <mergeCell ref="A3:H3"/>
    <mergeCell ref="A7:H7"/>
    <mergeCell ref="A19:H22"/>
    <mergeCell ref="A5:H5"/>
    <mergeCell ref="A8:H8"/>
    <mergeCell ref="A6:H6"/>
    <mergeCell ref="A12:H17"/>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R13"/>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3" customWidth="1" min="3" max="3"/>
    <col width="22" customWidth="1" min="4" max="4"/>
    <col width="24" customWidth="1" min="5" max="5"/>
    <col width="3" customWidth="1" min="6" max="6"/>
    <col width="22" customWidth="1" min="7" max="7"/>
    <col width="22" customWidth="1" min="8" max="8"/>
    <col width="3" customWidth="1" min="9" max="9"/>
    <col width="22" customWidth="1" min="10" max="10"/>
    <col width="22" customWidth="1" min="11" max="11"/>
    <col width="3" customWidth="1" min="12" max="12"/>
    <col hidden="1" width="13" customWidth="1" min="14" max="14"/>
    <col hidden="1" width="13" customWidth="1" min="15" max="15"/>
    <col hidden="1" width="13" customWidth="1" min="16" max="16"/>
    <col hidden="1" width="13" customWidth="1" min="17" max="17"/>
    <col hidden="1" width="13" customWidth="1" min="18" max="18"/>
  </cols>
  <sheetData>
    <row r="1" ht="30" customHeight="1">
      <c r="A1" s="1" t="inlineStr">
        <is>
          <t>TÜRKİYE YEŞİL TAKSONOMİSİ | ŞİRKET HAZIRLIK DASHBOARD</t>
        </is>
      </c>
    </row>
    <row r="2">
      <c r="N2" s="7" t="inlineStr">
        <is>
          <t>Faaliyet Türü</t>
        </is>
      </c>
      <c r="O2" s="7" t="inlineStr">
        <is>
          <t>Sayı</t>
        </is>
      </c>
    </row>
    <row r="3">
      <c r="A3" s="8" t="inlineStr">
        <is>
          <t>Toplam sektör</t>
        </is>
      </c>
      <c r="D3" s="8" t="inlineStr">
        <is>
          <t>Toplam ekonomik faaliyet</t>
        </is>
      </c>
      <c r="G3" s="8" t="inlineStr">
        <is>
          <t>Şirketimin eşleşen faaliyet sayısı</t>
        </is>
      </c>
      <c r="J3" s="8" t="inlineStr">
        <is>
          <t>İncelenen faaliyet</t>
        </is>
      </c>
      <c r="N3" s="7" t="inlineStr">
        <is>
          <t>Kolaylaştırıcı Faaliyet</t>
        </is>
      </c>
      <c r="O3" s="7">
        <f>COUNTIF('137 EKONOMİK FAALİYET'!H3:H139,N3)</f>
        <v/>
      </c>
      <c r="Q3" s="7" t="inlineStr">
        <is>
          <t>Sera gazı emisyonlarının azaltımı</t>
        </is>
      </c>
      <c r="R3" s="7">
        <f>COUNTIF('137 EKONOMİK FAALİYET'!K3:K139,"Evet")</f>
        <v/>
      </c>
    </row>
    <row r="4">
      <c r="A4" s="9">
        <f>COUNTA('16 SEKTÖR'!B3:B18)</f>
        <v/>
      </c>
      <c r="D4" s="9">
        <f>COUNTA('137 EKONOMİK FAALİYET'!E3:E139)</f>
        <v/>
      </c>
      <c r="G4" s="9">
        <f>IF('ŞİRKETİMİ KONTROL ET'!B4="",0,COUNTIF('137 EKONOMİK FAALİYET'!C3:C139,'ŞİRKETİMİ KONTROL ET'!B4))</f>
        <v/>
      </c>
      <c r="J4" s="9">
        <f>IF('ŞİRKETİMİ KONTROL ET'!B5="",0,1)</f>
        <v/>
      </c>
      <c r="N4" s="7" t="inlineStr">
        <is>
          <t>Geçiş Faaliyeti</t>
        </is>
      </c>
      <c r="O4" s="7">
        <f>COUNTIF('137 EKONOMİK FAALİYET'!H3:H139,N4)</f>
        <v/>
      </c>
      <c r="Q4" s="7" t="inlineStr">
        <is>
          <t>İklim değişikliğine uyum</t>
        </is>
      </c>
      <c r="R4" s="7">
        <f>COUNTIF('137 EKONOMİK FAALİYET'!L3:L139,"Evet")</f>
        <v/>
      </c>
    </row>
    <row r="5">
      <c r="N5" s="7" t="inlineStr">
        <is>
          <t>Diğer / Genel Faaliyet</t>
        </is>
      </c>
      <c r="O5" s="7">
        <f>COUNTIF('137 EKONOMİK FAALİYET'!H3:H139,N5)</f>
        <v/>
      </c>
      <c r="Q5" s="7" t="inlineStr">
        <is>
          <t>Su ve deniz kaynaklarının sürdürülebilir kullanımı ve korunması</t>
        </is>
      </c>
      <c r="R5" s="7">
        <f>COUNTIF('137 EKONOMİK FAALİYET'!M3:M139,"Evet")</f>
        <v/>
      </c>
    </row>
    <row r="6">
      <c r="N6" s="7" t="inlineStr">
        <is>
          <t>Kolaylaştırıcı / Geçiş</t>
        </is>
      </c>
      <c r="O6" s="7">
        <f>COUNTIF('137 EKONOMİK FAALİYET'!H3:H139,N6)</f>
        <v/>
      </c>
      <c r="Q6" s="7" t="inlineStr">
        <is>
          <t>Döngüsel ekonomiye geçiş</t>
        </is>
      </c>
      <c r="R6" s="7">
        <f>COUNTIF('137 EKONOMİK FAALİYET'!N3:N139,"Evet")</f>
        <v/>
      </c>
    </row>
    <row r="7" ht="36" customHeight="1">
      <c r="A7" s="10" t="inlineStr">
        <is>
          <t>Hazırlık KPI</t>
        </is>
      </c>
      <c r="B7" s="10" t="inlineStr">
        <is>
          <t>Değer</t>
        </is>
      </c>
      <c r="D7" s="7" t="inlineStr">
        <is>
          <t>Ön değerlendirme durumu</t>
        </is>
      </c>
      <c r="E7" s="11">
        <f>'ŞİRKETİMİ KONTROL ET'!F13</f>
        <v/>
      </c>
      <c r="Q7" s="7" t="inlineStr">
        <is>
          <t>Kirliliğin önlenmesi ve kontrolü</t>
        </is>
      </c>
      <c r="R7" s="7">
        <f>COUNTIF('137 EKONOMİK FAALİYET'!O3:O139,"Evet")</f>
        <v/>
      </c>
    </row>
    <row r="8">
      <c r="A8" s="7" t="inlineStr">
        <is>
          <t>Verisi tamamlanan alan</t>
        </is>
      </c>
      <c r="B8" s="12">
        <f>COUNTIF('HAZIRLIK CHECKLIST'!C3:C23,"Tamamlandı")/COUNTA('HAZIRLIK CHECKLIST'!B3:B23)</f>
        <v/>
      </c>
      <c r="Q8" s="7" t="inlineStr">
        <is>
          <t>Biyoçeşitliliğin ve ekosistemlerin korunması ile restorasyonu</t>
        </is>
      </c>
      <c r="R8" s="7">
        <f>COUNTIF('137 EKONOMİK FAALİYET'!P3:P139,"Evet")</f>
        <v/>
      </c>
    </row>
    <row r="9">
      <c r="A9" s="7" t="inlineStr">
        <is>
          <t>Eksik veri</t>
        </is>
      </c>
      <c r="B9" s="12">
        <f>COUNTIF('HAZIRLIK CHECKLIST'!C3:C23,"Eksik")/COUNTA('HAZIRLIK CHECKLIST'!B3:B23)</f>
        <v/>
      </c>
      <c r="N9" s="7" t="inlineStr">
        <is>
          <t>Durum</t>
        </is>
      </c>
      <c r="O9" s="7" t="inlineStr">
        <is>
          <t>Sayı</t>
        </is>
      </c>
    </row>
    <row r="10">
      <c r="A10" s="7" t="inlineStr">
        <is>
          <t>Eksik belge</t>
        </is>
      </c>
      <c r="B10" s="12">
        <f>COUNTIF('KANIT BELGE ENVANTERİ'!I3:I32,"Eksik")/COUNTA('KANIT BELGE ENVANTERİ'!I3:I32)</f>
        <v/>
      </c>
      <c r="N10" s="7" t="inlineStr">
        <is>
          <t>Tamamlandı</t>
        </is>
      </c>
      <c r="O10" s="7">
        <f>COUNTIF('HAZIRLIK CHECKLIST'!C3:C23,N10)</f>
        <v/>
      </c>
    </row>
    <row r="11">
      <c r="N11" s="7" t="inlineStr">
        <is>
          <t>İnceleniyor</t>
        </is>
      </c>
      <c r="O11" s="7">
        <f>COUNTIF('HAZIRLIK CHECKLIST'!C3:C23,N11)</f>
        <v/>
      </c>
    </row>
    <row r="12">
      <c r="N12" s="7" t="inlineStr">
        <is>
          <t>Eksik</t>
        </is>
      </c>
      <c r="O12" s="7">
        <f>COUNTIF('HAZIRLIK CHECKLIST'!C3:C23,N12)</f>
        <v/>
      </c>
    </row>
    <row r="13">
      <c r="N13" s="7" t="inlineStr">
        <is>
          <t>Uygulanamaz</t>
        </is>
      </c>
      <c r="O13" s="7">
        <f>COUNTIF('HAZIRLIK CHECKLIST'!C3:C23,N13)</f>
        <v/>
      </c>
    </row>
  </sheetData>
  <mergeCells count="9">
    <mergeCell ref="J3:K3"/>
    <mergeCell ref="A4:B5"/>
    <mergeCell ref="G4:H5"/>
    <mergeCell ref="D4:E5"/>
    <mergeCell ref="J4:K5"/>
    <mergeCell ref="A1:L1"/>
    <mergeCell ref="D3:E3"/>
    <mergeCell ref="A3:B3"/>
    <mergeCell ref="G3:H3"/>
  </mergeCells>
  <pageMargins left="0.75" right="0.75" top="1" bottom="1" header="0.5" footer="0.5"/>
  <pageSetup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U139"/>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27" customWidth="1" min="3" max="3"/>
    <col width="18" customWidth="1" min="4" max="4"/>
    <col width="44" customWidth="1" min="5" max="5"/>
    <col width="37" customWidth="1" min="6" max="6"/>
    <col width="20" customWidth="1" min="7" max="7"/>
    <col width="22" customWidth="1" min="8" max="8"/>
    <col width="15" customWidth="1" min="9" max="9"/>
    <col width="13" customWidth="1" min="10" max="10"/>
    <col width="14" customWidth="1" min="11" max="11"/>
    <col width="14" customWidth="1" min="12" max="12"/>
    <col width="14" customWidth="1" min="13" max="13"/>
    <col width="14" customWidth="1" min="14" max="14"/>
    <col width="14" customWidth="1" min="15" max="15"/>
    <col width="14" customWidth="1" min="16" max="16"/>
    <col width="23" customWidth="1" min="17" max="17"/>
    <col width="38" customWidth="1" min="18" max="18"/>
    <col width="38" customWidth="1" min="19" max="19"/>
    <col width="35" customWidth="1" min="20" max="20"/>
    <col width="28" customWidth="1" min="21" max="21"/>
  </cols>
  <sheetData>
    <row r="1" ht="30" customHeight="1">
      <c r="A1" s="1" t="inlineStr">
        <is>
          <t>137 EKONOMİK FAALİYET | NİHAİ EK-1 ANA VERİ TABLOSU</t>
        </is>
      </c>
    </row>
    <row r="2" ht="36" customHeight="1">
      <c r="A2" s="10" t="inlineStr">
        <is>
          <t>Sıra No</t>
        </is>
      </c>
      <c r="B2" s="10" t="inlineStr">
        <is>
          <t>Sektör No</t>
        </is>
      </c>
      <c r="C2" s="10" t="inlineStr">
        <is>
          <t>Sektör</t>
        </is>
      </c>
      <c r="D2" s="10" t="inlineStr">
        <is>
          <t>Faaliyet Kodu</t>
        </is>
      </c>
      <c r="E2" s="10" t="inlineStr">
        <is>
          <t>Ekonomik Faaliyet Adı</t>
        </is>
      </c>
      <c r="F2" s="10" t="inlineStr">
        <is>
          <t>Ekonomik Faaliyet Tanımı</t>
        </is>
      </c>
      <c r="G2" s="10" t="inlineStr">
        <is>
          <t>NACE Kodu / Kodları (resmi kaynakta varsa)</t>
        </is>
      </c>
      <c r="H2" s="10" t="inlineStr">
        <is>
          <t>Faaliyet Türü</t>
        </is>
      </c>
      <c r="I2" s="10" t="inlineStr">
        <is>
          <t>Kolaylaştırıcı Faaliyet</t>
        </is>
      </c>
      <c r="J2" s="10" t="inlineStr">
        <is>
          <t>Geçiş Faaliyeti</t>
        </is>
      </c>
      <c r="K2" s="10" t="inlineStr">
        <is>
          <t>Sera gazı emisyonlarının azaltımı</t>
        </is>
      </c>
      <c r="L2" s="10" t="inlineStr">
        <is>
          <t>İklim değişikliğine uyum</t>
        </is>
      </c>
      <c r="M2" s="10" t="inlineStr">
        <is>
          <t>Su ve deniz kaynaklarının sürdürülebilir kullanımı ve korunması</t>
        </is>
      </c>
      <c r="N2" s="10" t="inlineStr">
        <is>
          <t>Döngüsel ekonomiye geçiş</t>
        </is>
      </c>
      <c r="O2" s="10" t="inlineStr">
        <is>
          <t>Kirliliğin önlenmesi ve kontrolü</t>
        </is>
      </c>
      <c r="P2" s="10" t="inlineStr">
        <is>
          <t>Biyoçeşitliliğin ve ekosistemlerin korunması ile restorasyonu</t>
        </is>
      </c>
      <c r="Q2" s="10" t="inlineStr">
        <is>
          <t>Teknik Tarama Kriteri Mevcut mu?</t>
        </is>
      </c>
      <c r="R2" s="10" t="inlineStr">
        <is>
          <t>Şirket İçin Temel Veri İhtiyacı</t>
        </is>
      </c>
      <c r="S2" s="10" t="inlineStr">
        <is>
          <t>Muhtemel Kanıt / Belge</t>
        </is>
      </c>
      <c r="T2" s="10" t="inlineStr">
        <is>
          <t>Açıklama</t>
        </is>
      </c>
      <c r="U2" s="10" t="inlineStr">
        <is>
          <t>Kaynak</t>
        </is>
      </c>
    </row>
    <row r="3">
      <c r="A3" s="13" t="n">
        <v>1</v>
      </c>
      <c r="B3" s="13" t="n">
        <v>1</v>
      </c>
      <c r="C3" s="13" t="inlineStr">
        <is>
          <t>Ormancılık Faaliyetleri</t>
        </is>
      </c>
      <c r="D3" s="13" t="inlineStr">
        <is>
          <t>A-1.1; B-1.1</t>
        </is>
      </c>
      <c r="E3" s="13" t="inlineStr">
        <is>
          <t>Ağaçlandırma</t>
        </is>
      </c>
      <c r="F3" s="13" t="inlineStr">
        <is>
          <t>EK-1 faaliyet başlığıdır. Ayrıntılı kapsam ve eşikler için yayımlanacak resmi teknik tarama kriterleri incelenmelidir.</t>
        </is>
      </c>
      <c r="G3" s="13" t="inlineStr"/>
      <c r="H3" s="13" t="inlineStr">
        <is>
          <t>Diğer / Genel Faaliyet</t>
        </is>
      </c>
      <c r="I3" s="13" t="inlineStr">
        <is>
          <t>Hayır</t>
        </is>
      </c>
      <c r="J3" s="13" t="inlineStr">
        <is>
          <t>Hayır</t>
        </is>
      </c>
      <c r="K3" s="13" t="inlineStr">
        <is>
          <t>Evet</t>
        </is>
      </c>
      <c r="L3" s="13" t="inlineStr">
        <is>
          <t>Evet</t>
        </is>
      </c>
      <c r="M3" s="13" t="inlineStr"/>
      <c r="N3" s="13" t="inlineStr"/>
      <c r="O3" s="13" t="inlineStr"/>
      <c r="P3" s="13" t="inlineStr"/>
      <c r="Q3" s="13" t="inlineStr">
        <is>
          <t>Yayımlanmamış / Doğrulanmalı</t>
        </is>
      </c>
      <c r="R3" s="13" t="inlineStr">
        <is>
          <t>Faaliyet hacmi; enerji, yakıt, su, atık ve sera gazı verileri; hasılat, CAPEX ve OPEX; teknik performans göstergeleri.</t>
        </is>
      </c>
      <c r="S3" s="13" t="inlineStr">
        <is>
          <t>İzin ve ruhsatlar; sayaç/fatura kayıtları; emisyon ve atık beyanları; proje/teknik raporlar; doğrulama ve sosyal koruma belgeleri.</t>
        </is>
      </c>
      <c r="T3" s="13" t="inlineStr">
        <is>
          <t>NACE kodu eşleştirmeyi destekler; tek başına taksonomi uyumluluğunu kanıtlamaz.</t>
        </is>
      </c>
      <c r="U3" s="14" t="inlineStr">
        <is>
          <t>Türkiye Yeşil Taksonomisi Yönetmeliği, EK-1</t>
        </is>
      </c>
    </row>
    <row r="4">
      <c r="A4" s="13" t="n">
        <v>2</v>
      </c>
      <c r="B4" s="13" t="n">
        <v>1</v>
      </c>
      <c r="C4" s="13" t="inlineStr">
        <is>
          <t>Ormancılık Faaliyetleri</t>
        </is>
      </c>
      <c r="D4" s="13" t="inlineStr">
        <is>
          <t>A-1.2; B-1.2</t>
        </is>
      </c>
      <c r="E4" s="13" t="inlineStr">
        <is>
          <t>Yeniden Ağaçlandırma, Doğal Orman Yenilenmesi, Ormanların Rehabilitasyonu ve Restorasyonu</t>
        </is>
      </c>
      <c r="F4" s="13" t="inlineStr">
        <is>
          <t>EK-1 faaliyet başlığıdır. Ayrıntılı kapsam ve eşikler için yayımlanacak resmi teknik tarama kriterleri incelenmelidir.</t>
        </is>
      </c>
      <c r="G4" s="13" t="inlineStr"/>
      <c r="H4" s="13" t="inlineStr">
        <is>
          <t>Diğer / Genel Faaliyet</t>
        </is>
      </c>
      <c r="I4" s="13" t="inlineStr">
        <is>
          <t>Hayır</t>
        </is>
      </c>
      <c r="J4" s="13" t="inlineStr">
        <is>
          <t>Hayır</t>
        </is>
      </c>
      <c r="K4" s="13" t="inlineStr">
        <is>
          <t>Evet</t>
        </is>
      </c>
      <c r="L4" s="13" t="inlineStr">
        <is>
          <t>Evet</t>
        </is>
      </c>
      <c r="M4" s="13" t="inlineStr"/>
      <c r="N4" s="13" t="inlineStr"/>
      <c r="O4" s="13" t="inlineStr"/>
      <c r="P4" s="13" t="inlineStr"/>
      <c r="Q4" s="13" t="inlineStr">
        <is>
          <t>Yayımlanmamış / Doğrulanmalı</t>
        </is>
      </c>
      <c r="R4" s="13" t="inlineStr">
        <is>
          <t>Faaliyet hacmi; enerji, yakıt, su, atık ve sera gazı verileri; hasılat, CAPEX ve OPEX; teknik performans göstergeleri.</t>
        </is>
      </c>
      <c r="S4" s="13" t="inlineStr">
        <is>
          <t>İzin ve ruhsatlar; sayaç/fatura kayıtları; emisyon ve atık beyanları; proje/teknik raporlar; doğrulama ve sosyal koruma belgeleri.</t>
        </is>
      </c>
      <c r="T4" s="13" t="inlineStr">
        <is>
          <t>NACE kodu eşleştirmeyi destekler; tek başına taksonomi uyumluluğunu kanıtlamaz.</t>
        </is>
      </c>
      <c r="U4" s="14" t="inlineStr">
        <is>
          <t>Türkiye Yeşil Taksonomisi Yönetmeliği, EK-1</t>
        </is>
      </c>
    </row>
    <row r="5">
      <c r="A5" s="13" t="n">
        <v>3</v>
      </c>
      <c r="B5" s="13" t="n">
        <v>1</v>
      </c>
      <c r="C5" s="13" t="inlineStr">
        <is>
          <t>Ormancılık Faaliyetleri</t>
        </is>
      </c>
      <c r="D5" s="13" t="inlineStr">
        <is>
          <t>A-1.3; B-1.3</t>
        </is>
      </c>
      <c r="E5" s="13" t="inlineStr">
        <is>
          <t>Orman Yönetimi</t>
        </is>
      </c>
      <c r="F5" s="13" t="inlineStr">
        <is>
          <t>EK-1 faaliyet başlığıdır. Ayrıntılı kapsam ve eşikler için yayımlanacak resmi teknik tarama kriterleri incelenmelidir.</t>
        </is>
      </c>
      <c r="G5" s="13" t="inlineStr"/>
      <c r="H5" s="13" t="inlineStr">
        <is>
          <t>Diğer / Genel Faaliyet</t>
        </is>
      </c>
      <c r="I5" s="13" t="inlineStr">
        <is>
          <t>Hayır</t>
        </is>
      </c>
      <c r="J5" s="13" t="inlineStr">
        <is>
          <t>Hayır</t>
        </is>
      </c>
      <c r="K5" s="13" t="inlineStr">
        <is>
          <t>Evet</t>
        </is>
      </c>
      <c r="L5" s="13" t="inlineStr">
        <is>
          <t>Evet</t>
        </is>
      </c>
      <c r="M5" s="13" t="inlineStr"/>
      <c r="N5" s="13" t="inlineStr"/>
      <c r="O5" s="13" t="inlineStr"/>
      <c r="P5" s="13" t="inlineStr"/>
      <c r="Q5" s="13" t="inlineStr">
        <is>
          <t>Yayımlanmamış / Doğrulanmalı</t>
        </is>
      </c>
      <c r="R5" s="13" t="inlineStr">
        <is>
          <t>Faaliyet hacmi; enerji, yakıt, su, atık ve sera gazı verileri; hasılat, CAPEX ve OPEX; teknik performans göstergeleri.</t>
        </is>
      </c>
      <c r="S5" s="13" t="inlineStr">
        <is>
          <t>İzin ve ruhsatlar; sayaç/fatura kayıtları; emisyon ve atık beyanları; proje/teknik raporlar; doğrulama ve sosyal koruma belgeleri.</t>
        </is>
      </c>
      <c r="T5" s="13" t="inlineStr">
        <is>
          <t>NACE kodu eşleştirmeyi destekler; tek başına taksonomi uyumluluğunu kanıtlamaz.</t>
        </is>
      </c>
      <c r="U5" s="14" t="inlineStr">
        <is>
          <t>Türkiye Yeşil Taksonomisi Yönetmeliği, EK-1</t>
        </is>
      </c>
    </row>
    <row r="6">
      <c r="A6" s="13" t="n">
        <v>4</v>
      </c>
      <c r="B6" s="13" t="n">
        <v>1</v>
      </c>
      <c r="C6" s="13" t="inlineStr">
        <is>
          <t>Ormancılık Faaliyetleri</t>
        </is>
      </c>
      <c r="D6" s="13" t="inlineStr">
        <is>
          <t>A-1.4; B-1.4</t>
        </is>
      </c>
      <c r="E6" s="13" t="inlineStr">
        <is>
          <t>Koruma Ormancılığı</t>
        </is>
      </c>
      <c r="F6" s="13" t="inlineStr">
        <is>
          <t>EK-1 faaliyet başlığıdır. Ayrıntılı kapsam ve eşikler için yayımlanacak resmi teknik tarama kriterleri incelenmelidir.</t>
        </is>
      </c>
      <c r="G6" s="13" t="inlineStr"/>
      <c r="H6" s="13" t="inlineStr">
        <is>
          <t>Diğer / Genel Faaliyet</t>
        </is>
      </c>
      <c r="I6" s="13" t="inlineStr">
        <is>
          <t>Hayır</t>
        </is>
      </c>
      <c r="J6" s="13" t="inlineStr">
        <is>
          <t>Hayır</t>
        </is>
      </c>
      <c r="K6" s="13" t="inlineStr">
        <is>
          <t>Evet</t>
        </is>
      </c>
      <c r="L6" s="13" t="inlineStr">
        <is>
          <t>Evet</t>
        </is>
      </c>
      <c r="M6" s="13" t="inlineStr"/>
      <c r="N6" s="13" t="inlineStr"/>
      <c r="O6" s="13" t="inlineStr"/>
      <c r="P6" s="13" t="inlineStr"/>
      <c r="Q6" s="13" t="inlineStr">
        <is>
          <t>Yayımlanmamış / Doğrulanmalı</t>
        </is>
      </c>
      <c r="R6" s="13" t="inlineStr">
        <is>
          <t>Faaliyet hacmi; enerji, yakıt, su, atık ve sera gazı verileri; hasılat, CAPEX ve OPEX; teknik performans göstergeleri.</t>
        </is>
      </c>
      <c r="S6" s="13" t="inlineStr">
        <is>
          <t>İzin ve ruhsatlar; sayaç/fatura kayıtları; emisyon ve atık beyanları; proje/teknik raporlar; doğrulama ve sosyal koruma belgeleri.</t>
        </is>
      </c>
      <c r="T6" s="13" t="inlineStr">
        <is>
          <t>NACE kodu eşleştirmeyi destekler; tek başına taksonomi uyumluluğunu kanıtlamaz.</t>
        </is>
      </c>
      <c r="U6" s="14" t="inlineStr">
        <is>
          <t>Türkiye Yeşil Taksonomisi Yönetmeliği, EK-1</t>
        </is>
      </c>
    </row>
    <row r="7">
      <c r="A7" s="13" t="n">
        <v>5</v>
      </c>
      <c r="B7" s="13" t="n">
        <v>2</v>
      </c>
      <c r="C7" s="13" t="inlineStr">
        <is>
          <t>Çevre Koruma ve Restorasyon Faaliyetleri</t>
        </is>
      </c>
      <c r="D7" s="13" t="inlineStr">
        <is>
          <t>A-2.1; B-2.1</t>
        </is>
      </c>
      <c r="E7" s="13" t="inlineStr">
        <is>
          <t>Sulak Alanların Restorasyonu</t>
        </is>
      </c>
      <c r="F7" s="13" t="inlineStr">
        <is>
          <t>EK-1 faaliyet başlığıdır. Ayrıntılı kapsam ve eşikler için yayımlanacak resmi teknik tarama kriterleri incelenmelidir.</t>
        </is>
      </c>
      <c r="G7" s="13" t="inlineStr"/>
      <c r="H7" s="13" t="inlineStr">
        <is>
          <t>Diğer / Genel Faaliyet</t>
        </is>
      </c>
      <c r="I7" s="13" t="inlineStr">
        <is>
          <t>Hayır</t>
        </is>
      </c>
      <c r="J7" s="13" t="inlineStr">
        <is>
          <t>Hayır</t>
        </is>
      </c>
      <c r="K7" s="13" t="inlineStr">
        <is>
          <t>Evet</t>
        </is>
      </c>
      <c r="L7" s="13" t="inlineStr">
        <is>
          <t>Evet</t>
        </is>
      </c>
      <c r="M7" s="13" t="inlineStr"/>
      <c r="N7" s="13" t="inlineStr"/>
      <c r="O7" s="13" t="inlineStr"/>
      <c r="P7" s="13" t="inlineStr"/>
      <c r="Q7" s="13" t="inlineStr">
        <is>
          <t>Yayımlanmamış / Doğrulanmalı</t>
        </is>
      </c>
      <c r="R7" s="13" t="inlineStr">
        <is>
          <t>Faaliyet hacmi; enerji, yakıt, su, atık ve sera gazı verileri; hasılat, CAPEX ve OPEX; teknik performans göstergeleri.</t>
        </is>
      </c>
      <c r="S7" s="13" t="inlineStr">
        <is>
          <t>İzin ve ruhsatlar; sayaç/fatura kayıtları; emisyon ve atık beyanları; proje/teknik raporlar; doğrulama ve sosyal koruma belgeleri.</t>
        </is>
      </c>
      <c r="T7" s="13" t="inlineStr">
        <is>
          <t>NACE kodu eşleştirmeyi destekler; tek başına taksonomi uyumluluğunu kanıtlamaz.</t>
        </is>
      </c>
      <c r="U7" s="14" t="inlineStr">
        <is>
          <t>Türkiye Yeşil Taksonomisi Yönetmeliği, EK-1</t>
        </is>
      </c>
    </row>
    <row r="8">
      <c r="A8" s="13" t="n">
        <v>6</v>
      </c>
      <c r="B8" s="13" t="n">
        <v>3</v>
      </c>
      <c r="C8" s="13" t="inlineStr">
        <is>
          <t>İmalat Faaliyetleri</t>
        </is>
      </c>
      <c r="D8" s="13" t="inlineStr">
        <is>
          <t>A-3.1; B-3.1</t>
        </is>
      </c>
      <c r="E8" s="13" t="inlineStr">
        <is>
          <t>Yenilenebilir Enerji Teknolojilerinin İmalatı (Kolaylaştırıcı Faaliyet)</t>
        </is>
      </c>
      <c r="F8" s="13" t="inlineStr">
        <is>
          <t>EK-1 faaliyet başlığıdır. Ayrıntılı kapsam ve eşikler için yayımlanacak resmi teknik tarama kriterleri incelenmelidir.</t>
        </is>
      </c>
      <c r="G8" s="13" t="inlineStr"/>
      <c r="H8" s="13" t="inlineStr">
        <is>
          <t>Kolaylaştırıcı Faaliyet</t>
        </is>
      </c>
      <c r="I8" s="13" t="inlineStr">
        <is>
          <t>Evet</t>
        </is>
      </c>
      <c r="J8" s="13" t="inlineStr">
        <is>
          <t>Hayır</t>
        </is>
      </c>
      <c r="K8" s="13" t="inlineStr">
        <is>
          <t>Evet</t>
        </is>
      </c>
      <c r="L8" s="13" t="inlineStr">
        <is>
          <t>Evet</t>
        </is>
      </c>
      <c r="M8" s="13" t="inlineStr"/>
      <c r="N8" s="13" t="inlineStr"/>
      <c r="O8" s="13" t="inlineStr"/>
      <c r="P8" s="13" t="inlineStr"/>
      <c r="Q8" s="13" t="inlineStr">
        <is>
          <t>Yayımlanmamış / Doğrulanmalı</t>
        </is>
      </c>
      <c r="R8" s="13" t="inlineStr">
        <is>
          <t>Faaliyet hacmi; enerji, yakıt, su, atık ve sera gazı verileri; hasılat, CAPEX ve OPEX; teknik performans göstergeleri.</t>
        </is>
      </c>
      <c r="S8" s="13" t="inlineStr">
        <is>
          <t>İzin ve ruhsatlar; sayaç/fatura kayıtları; emisyon ve atık beyanları; proje/teknik raporlar; doğrulama ve sosyal koruma belgeleri.</t>
        </is>
      </c>
      <c r="T8" s="13" t="inlineStr">
        <is>
          <t>NACE kodu eşleştirmeyi destekler; tek başına taksonomi uyumluluğunu kanıtlamaz.</t>
        </is>
      </c>
      <c r="U8" s="14" t="inlineStr">
        <is>
          <t>Türkiye Yeşil Taksonomisi Yönetmeliği, EK-1</t>
        </is>
      </c>
    </row>
    <row r="9">
      <c r="A9" s="13" t="n">
        <v>7</v>
      </c>
      <c r="B9" s="13" t="n">
        <v>3</v>
      </c>
      <c r="C9" s="13" t="inlineStr">
        <is>
          <t>İmalat Faaliyetleri</t>
        </is>
      </c>
      <c r="D9" s="13" t="inlineStr">
        <is>
          <t>A-3.2; B-3.2</t>
        </is>
      </c>
      <c r="E9" s="13" t="inlineStr">
        <is>
          <t>Hidrojen İmalatı ve Kullanımına Yönelik Ekipmanların İmalatı (Kolaylaştırıcı Faaliyet)</t>
        </is>
      </c>
      <c r="F9" s="13" t="inlineStr">
        <is>
          <t>EK-1 faaliyet başlığıdır. Ayrıntılı kapsam ve eşikler için yayımlanacak resmi teknik tarama kriterleri incelenmelidir.</t>
        </is>
      </c>
      <c r="G9" s="13" t="inlineStr"/>
      <c r="H9" s="13" t="inlineStr">
        <is>
          <t>Kolaylaştırıcı Faaliyet</t>
        </is>
      </c>
      <c r="I9" s="13" t="inlineStr">
        <is>
          <t>Evet</t>
        </is>
      </c>
      <c r="J9" s="13" t="inlineStr">
        <is>
          <t>Hayır</t>
        </is>
      </c>
      <c r="K9" s="13" t="inlineStr">
        <is>
          <t>Evet</t>
        </is>
      </c>
      <c r="L9" s="13" t="inlineStr">
        <is>
          <t>Evet</t>
        </is>
      </c>
      <c r="M9" s="13" t="inlineStr"/>
      <c r="N9" s="13" t="inlineStr"/>
      <c r="O9" s="13" t="inlineStr"/>
      <c r="P9" s="13" t="inlineStr"/>
      <c r="Q9" s="13" t="inlineStr">
        <is>
          <t>Yayımlanmamış / Doğrulanmalı</t>
        </is>
      </c>
      <c r="R9" s="13" t="inlineStr">
        <is>
          <t>Faaliyet hacmi; enerji, yakıt, su, atık ve sera gazı verileri; hasılat, CAPEX ve OPEX; teknik performans göstergeleri.</t>
        </is>
      </c>
      <c r="S9" s="13" t="inlineStr">
        <is>
          <t>İzin ve ruhsatlar; sayaç/fatura kayıtları; emisyon ve atık beyanları; proje/teknik raporlar; doğrulama ve sosyal koruma belgeleri.</t>
        </is>
      </c>
      <c r="T9" s="13" t="inlineStr">
        <is>
          <t>NACE kodu eşleştirmeyi destekler; tek başına taksonomi uyumluluğunu kanıtlamaz.</t>
        </is>
      </c>
      <c r="U9" s="14" t="inlineStr">
        <is>
          <t>Türkiye Yeşil Taksonomisi Yönetmeliği, EK-1</t>
        </is>
      </c>
    </row>
    <row r="10">
      <c r="A10" s="13" t="n">
        <v>8</v>
      </c>
      <c r="B10" s="13" t="n">
        <v>3</v>
      </c>
      <c r="C10" s="13" t="inlineStr">
        <is>
          <t>İmalat Faaliyetleri</t>
        </is>
      </c>
      <c r="D10" s="13" t="inlineStr">
        <is>
          <t>A-3.3; B-3.3</t>
        </is>
      </c>
      <c r="E10" s="13" t="inlineStr">
        <is>
          <t>Taşımacılık İçin Düşük Karbon Teknolojilerinin İmalatı (Kolaylaştırıcı Faaliyet)</t>
        </is>
      </c>
      <c r="F10" s="13" t="inlineStr">
        <is>
          <t>EK-1 faaliyet başlığıdır. Ayrıntılı kapsam ve eşikler için yayımlanacak resmi teknik tarama kriterleri incelenmelidir.</t>
        </is>
      </c>
      <c r="G10" s="13" t="inlineStr"/>
      <c r="H10" s="13" t="inlineStr">
        <is>
          <t>Kolaylaştırıcı Faaliyet</t>
        </is>
      </c>
      <c r="I10" s="13" t="inlineStr">
        <is>
          <t>Evet</t>
        </is>
      </c>
      <c r="J10" s="13" t="inlineStr">
        <is>
          <t>Hayır</t>
        </is>
      </c>
      <c r="K10" s="13" t="inlineStr">
        <is>
          <t>Evet</t>
        </is>
      </c>
      <c r="L10" s="13" t="inlineStr">
        <is>
          <t>Evet</t>
        </is>
      </c>
      <c r="M10" s="13" t="inlineStr"/>
      <c r="N10" s="13" t="inlineStr"/>
      <c r="O10" s="13" t="inlineStr"/>
      <c r="P10" s="13" t="inlineStr"/>
      <c r="Q10" s="13" t="inlineStr">
        <is>
          <t>Yayımlanmamış / Doğrulanmalı</t>
        </is>
      </c>
      <c r="R10" s="13" t="inlineStr">
        <is>
          <t>Faaliyet hacmi; enerji, yakıt, su, atık ve sera gazı verileri; hasılat, CAPEX ve OPEX; teknik performans göstergeleri.</t>
        </is>
      </c>
      <c r="S10" s="13" t="inlineStr">
        <is>
          <t>İzin ve ruhsatlar; sayaç/fatura kayıtları; emisyon ve atık beyanları; proje/teknik raporlar; doğrulama ve sosyal koruma belgeleri.</t>
        </is>
      </c>
      <c r="T10" s="13" t="inlineStr">
        <is>
          <t>NACE kodu eşleştirmeyi destekler; tek başına taksonomi uyumluluğunu kanıtlamaz.</t>
        </is>
      </c>
      <c r="U10" s="14" t="inlineStr">
        <is>
          <t>Türkiye Yeşil Taksonomisi Yönetmeliği, EK-1</t>
        </is>
      </c>
    </row>
    <row r="11">
      <c r="A11" s="13" t="n">
        <v>9</v>
      </c>
      <c r="B11" s="13" t="n">
        <v>3</v>
      </c>
      <c r="C11" s="13" t="inlineStr">
        <is>
          <t>İmalat Faaliyetleri</t>
        </is>
      </c>
      <c r="D11" s="13" t="inlineStr">
        <is>
          <t>A-3.4; B-3.4</t>
        </is>
      </c>
      <c r="E11" s="13" t="inlineStr">
        <is>
          <t>Batarya İmalatı (Kolaylaştırıcı Faaliyet)</t>
        </is>
      </c>
      <c r="F11" s="13" t="inlineStr">
        <is>
          <t>EK-1 faaliyet başlığıdır. Ayrıntılı kapsam ve eşikler için yayımlanacak resmi teknik tarama kriterleri incelenmelidir.</t>
        </is>
      </c>
      <c r="G11" s="13" t="inlineStr"/>
      <c r="H11" s="13" t="inlineStr">
        <is>
          <t>Kolaylaştırıcı Faaliyet</t>
        </is>
      </c>
      <c r="I11" s="13" t="inlineStr">
        <is>
          <t>Evet</t>
        </is>
      </c>
      <c r="J11" s="13" t="inlineStr">
        <is>
          <t>Hayır</t>
        </is>
      </c>
      <c r="K11" s="13" t="inlineStr">
        <is>
          <t>Evet</t>
        </is>
      </c>
      <c r="L11" s="13" t="inlineStr">
        <is>
          <t>Evet</t>
        </is>
      </c>
      <c r="M11" s="13" t="inlineStr"/>
      <c r="N11" s="13" t="inlineStr"/>
      <c r="O11" s="13" t="inlineStr"/>
      <c r="P11" s="13" t="inlineStr"/>
      <c r="Q11" s="13" t="inlineStr">
        <is>
          <t>Yayımlanmamış / Doğrulanmalı</t>
        </is>
      </c>
      <c r="R11" s="13" t="inlineStr">
        <is>
          <t>Faaliyet hacmi; enerji, yakıt, su, atık ve sera gazı verileri; hasılat, CAPEX ve OPEX; teknik performans göstergeleri.</t>
        </is>
      </c>
      <c r="S11" s="13" t="inlineStr">
        <is>
          <t>İzin ve ruhsatlar; sayaç/fatura kayıtları; emisyon ve atık beyanları; proje/teknik raporlar; doğrulama ve sosyal koruma belgeleri.</t>
        </is>
      </c>
      <c r="T11" s="13" t="inlineStr">
        <is>
          <t>NACE kodu eşleştirmeyi destekler; tek başına taksonomi uyumluluğunu kanıtlamaz.</t>
        </is>
      </c>
      <c r="U11" s="14" t="inlineStr">
        <is>
          <t>Türkiye Yeşil Taksonomisi Yönetmeliği, EK-1</t>
        </is>
      </c>
    </row>
    <row r="12">
      <c r="A12" s="13" t="n">
        <v>10</v>
      </c>
      <c r="B12" s="13" t="n">
        <v>3</v>
      </c>
      <c r="C12" s="13" t="inlineStr">
        <is>
          <t>İmalat Faaliyetleri</t>
        </is>
      </c>
      <c r="D12" s="13" t="inlineStr">
        <is>
          <t>A-3.5; B-3.5</t>
        </is>
      </c>
      <c r="E12" s="13" t="inlineStr">
        <is>
          <t>Binalar İçin Enerji Verimliliği Ekipmanlarının İmalatı (Kolaylaştırıcı Faaliyet)</t>
        </is>
      </c>
      <c r="F12" s="13" t="inlineStr">
        <is>
          <t>EK-1 faaliyet başlığıdır. Ayrıntılı kapsam ve eşikler için yayımlanacak resmi teknik tarama kriterleri incelenmelidir.</t>
        </is>
      </c>
      <c r="G12" s="13" t="inlineStr"/>
      <c r="H12" s="13" t="inlineStr">
        <is>
          <t>Kolaylaştırıcı Faaliyet</t>
        </is>
      </c>
      <c r="I12" s="13" t="inlineStr">
        <is>
          <t>Evet</t>
        </is>
      </c>
      <c r="J12" s="13" t="inlineStr">
        <is>
          <t>Hayır</t>
        </is>
      </c>
      <c r="K12" s="13" t="inlineStr">
        <is>
          <t>Evet</t>
        </is>
      </c>
      <c r="L12" s="13" t="inlineStr">
        <is>
          <t>Evet</t>
        </is>
      </c>
      <c r="M12" s="13" t="inlineStr"/>
      <c r="N12" s="13" t="inlineStr"/>
      <c r="O12" s="13" t="inlineStr"/>
      <c r="P12" s="13" t="inlineStr"/>
      <c r="Q12" s="13" t="inlineStr">
        <is>
          <t>Yayımlanmamış / Doğrulanmalı</t>
        </is>
      </c>
      <c r="R12" s="13" t="inlineStr">
        <is>
          <t>Faaliyet hacmi; enerji, yakıt, su, atık ve sera gazı verileri; hasılat, CAPEX ve OPEX; teknik performans göstergeleri.</t>
        </is>
      </c>
      <c r="S12" s="13" t="inlineStr">
        <is>
          <t>İzin ve ruhsatlar; sayaç/fatura kayıtları; emisyon ve atık beyanları; proje/teknik raporlar; doğrulama ve sosyal koruma belgeleri.</t>
        </is>
      </c>
      <c r="T12" s="13" t="inlineStr">
        <is>
          <t>NACE kodu eşleştirmeyi destekler; tek başına taksonomi uyumluluğunu kanıtlamaz.</t>
        </is>
      </c>
      <c r="U12" s="14" t="inlineStr">
        <is>
          <t>Türkiye Yeşil Taksonomisi Yönetmeliği, EK-1</t>
        </is>
      </c>
    </row>
    <row r="13">
      <c r="A13" s="13" t="n">
        <v>11</v>
      </c>
      <c r="B13" s="13" t="n">
        <v>3</v>
      </c>
      <c r="C13" s="13" t="inlineStr">
        <is>
          <t>İmalat Faaliyetleri</t>
        </is>
      </c>
      <c r="D13" s="13" t="inlineStr">
        <is>
          <t>A-3.6; B-3.6</t>
        </is>
      </c>
      <c r="E13" s="13" t="inlineStr">
        <is>
          <t>Diğer Düşük Karbon Teknolojilerinin İmalatı (Kolaylaştırıcı Faaliyet)</t>
        </is>
      </c>
      <c r="F13" s="13" t="inlineStr">
        <is>
          <t>EK-1 faaliyet başlığıdır. Ayrıntılı kapsam ve eşikler için yayımlanacak resmi teknik tarama kriterleri incelenmelidir.</t>
        </is>
      </c>
      <c r="G13" s="13" t="inlineStr"/>
      <c r="H13" s="13" t="inlineStr">
        <is>
          <t>Kolaylaştırıcı Faaliyet</t>
        </is>
      </c>
      <c r="I13" s="13" t="inlineStr">
        <is>
          <t>Evet</t>
        </is>
      </c>
      <c r="J13" s="13" t="inlineStr">
        <is>
          <t>Hayır</t>
        </is>
      </c>
      <c r="K13" s="13" t="inlineStr">
        <is>
          <t>Evet</t>
        </is>
      </c>
      <c r="L13" s="13" t="inlineStr">
        <is>
          <t>Evet</t>
        </is>
      </c>
      <c r="M13" s="13" t="inlineStr"/>
      <c r="N13" s="13" t="inlineStr"/>
      <c r="O13" s="13" t="inlineStr"/>
      <c r="P13" s="13" t="inlineStr"/>
      <c r="Q13" s="13" t="inlineStr">
        <is>
          <t>Yayımlanmamış / Doğrulanmalı</t>
        </is>
      </c>
      <c r="R13" s="13" t="inlineStr">
        <is>
          <t>Faaliyet hacmi; enerji, yakıt, su, atık ve sera gazı verileri; hasılat, CAPEX ve OPEX; teknik performans göstergeleri.</t>
        </is>
      </c>
      <c r="S13" s="13" t="inlineStr">
        <is>
          <t>İzin ve ruhsatlar; sayaç/fatura kayıtları; emisyon ve atık beyanları; proje/teknik raporlar; doğrulama ve sosyal koruma belgeleri.</t>
        </is>
      </c>
      <c r="T13" s="13" t="inlineStr">
        <is>
          <t>NACE kodu eşleştirmeyi destekler; tek başına taksonomi uyumluluğunu kanıtlamaz.</t>
        </is>
      </c>
      <c r="U13" s="14" t="inlineStr">
        <is>
          <t>Türkiye Yeşil Taksonomisi Yönetmeliği, EK-1</t>
        </is>
      </c>
    </row>
    <row r="14">
      <c r="A14" s="13" t="n">
        <v>12</v>
      </c>
      <c r="B14" s="13" t="n">
        <v>3</v>
      </c>
      <c r="C14" s="13" t="inlineStr">
        <is>
          <t>İmalat Faaliyetleri</t>
        </is>
      </c>
      <c r="D14" s="13" t="inlineStr">
        <is>
          <t>A-3.7; B-3.7</t>
        </is>
      </c>
      <c r="E14" s="13" t="inlineStr">
        <is>
          <t>Çimento İmalatı</t>
        </is>
      </c>
      <c r="F14" s="13" t="inlineStr">
        <is>
          <t>EK-1 faaliyet başlığıdır. Ayrıntılı kapsam ve eşikler için yayımlanacak resmi teknik tarama kriterleri incelenmelidir.</t>
        </is>
      </c>
      <c r="G14" s="13" t="inlineStr"/>
      <c r="H14" s="13" t="inlineStr">
        <is>
          <t>Geçiş Faaliyeti</t>
        </is>
      </c>
      <c r="I14" s="13" t="inlineStr">
        <is>
          <t>Hayır</t>
        </is>
      </c>
      <c r="J14" s="13" t="inlineStr">
        <is>
          <t>Evet</t>
        </is>
      </c>
      <c r="K14" s="13" t="inlineStr">
        <is>
          <t>Evet</t>
        </is>
      </c>
      <c r="L14" s="13" t="inlineStr">
        <is>
          <t>Evet</t>
        </is>
      </c>
      <c r="M14" s="13" t="inlineStr"/>
      <c r="N14" s="13" t="inlineStr"/>
      <c r="O14" s="13" t="inlineStr"/>
      <c r="P14" s="13" t="inlineStr"/>
      <c r="Q14" s="13" t="inlineStr">
        <is>
          <t>Yayımlanmamış / Doğrulanmalı</t>
        </is>
      </c>
      <c r="R14" s="13" t="inlineStr">
        <is>
          <t>Faaliyet hacmi; enerji, yakıt, su, atık ve sera gazı verileri; hasılat, CAPEX ve OPEX; teknik performans göstergeleri.</t>
        </is>
      </c>
      <c r="S14" s="13" t="inlineStr">
        <is>
          <t>İzin ve ruhsatlar; sayaç/fatura kayıtları; emisyon ve atık beyanları; proje/teknik raporlar; doğrulama ve sosyal koruma belgeleri.</t>
        </is>
      </c>
      <c r="T14" s="13" t="inlineStr">
        <is>
          <t>NACE kodu eşleştirmeyi destekler; tek başına taksonomi uyumluluğunu kanıtlamaz.</t>
        </is>
      </c>
      <c r="U14" s="14" t="inlineStr">
        <is>
          <t>Türkiye Yeşil Taksonomisi Yönetmeliği, EK-1</t>
        </is>
      </c>
    </row>
    <row r="15">
      <c r="A15" s="13" t="n">
        <v>13</v>
      </c>
      <c r="B15" s="13" t="n">
        <v>3</v>
      </c>
      <c r="C15" s="13" t="inlineStr">
        <is>
          <t>İmalat Faaliyetleri</t>
        </is>
      </c>
      <c r="D15" s="13" t="inlineStr">
        <is>
          <t>A-3.8; B-3.8</t>
        </is>
      </c>
      <c r="E15" s="13" t="inlineStr">
        <is>
          <t>Alüminyum İmalatı</t>
        </is>
      </c>
      <c r="F15" s="13" t="inlineStr">
        <is>
          <t>EK-1 faaliyet başlığıdır. Ayrıntılı kapsam ve eşikler için yayımlanacak resmi teknik tarama kriterleri incelenmelidir.</t>
        </is>
      </c>
      <c r="G15" s="13" t="inlineStr"/>
      <c r="H15" s="13" t="inlineStr">
        <is>
          <t>Geçiş Faaliyeti</t>
        </is>
      </c>
      <c r="I15" s="13" t="inlineStr">
        <is>
          <t>Hayır</t>
        </is>
      </c>
      <c r="J15" s="13" t="inlineStr">
        <is>
          <t>Evet</t>
        </is>
      </c>
      <c r="K15" s="13" t="inlineStr">
        <is>
          <t>Evet</t>
        </is>
      </c>
      <c r="L15" s="13" t="inlineStr">
        <is>
          <t>Evet</t>
        </is>
      </c>
      <c r="M15" s="13" t="inlineStr"/>
      <c r="N15" s="13" t="inlineStr"/>
      <c r="O15" s="13" t="inlineStr"/>
      <c r="P15" s="13" t="inlineStr"/>
      <c r="Q15" s="13" t="inlineStr">
        <is>
          <t>Yayımlanmamış / Doğrulanmalı</t>
        </is>
      </c>
      <c r="R15" s="13" t="inlineStr">
        <is>
          <t>Faaliyet hacmi; enerji, yakıt, su, atık ve sera gazı verileri; hasılat, CAPEX ve OPEX; teknik performans göstergeleri.</t>
        </is>
      </c>
      <c r="S15" s="13" t="inlineStr">
        <is>
          <t>İzin ve ruhsatlar; sayaç/fatura kayıtları; emisyon ve atık beyanları; proje/teknik raporlar; doğrulama ve sosyal koruma belgeleri.</t>
        </is>
      </c>
      <c r="T15" s="13" t="inlineStr">
        <is>
          <t>NACE kodu eşleştirmeyi destekler; tek başına taksonomi uyumluluğunu kanıtlamaz.</t>
        </is>
      </c>
      <c r="U15" s="14" t="inlineStr">
        <is>
          <t>Türkiye Yeşil Taksonomisi Yönetmeliği, EK-1</t>
        </is>
      </c>
    </row>
    <row r="16">
      <c r="A16" s="13" t="n">
        <v>14</v>
      </c>
      <c r="B16" s="13" t="n">
        <v>3</v>
      </c>
      <c r="C16" s="13" t="inlineStr">
        <is>
          <t>İmalat Faaliyetleri</t>
        </is>
      </c>
      <c r="D16" s="13" t="inlineStr">
        <is>
          <t>A-3.9; B-3.9</t>
        </is>
      </c>
      <c r="E16" s="13" t="inlineStr">
        <is>
          <t>Demir ve Çelik İmalatı</t>
        </is>
      </c>
      <c r="F16" s="13" t="inlineStr">
        <is>
          <t>EK-1 faaliyet başlığıdır. Ayrıntılı kapsam ve eşikler için yayımlanacak resmi teknik tarama kriterleri incelenmelidir.</t>
        </is>
      </c>
      <c r="G16" s="13" t="inlineStr"/>
      <c r="H16" s="13" t="inlineStr">
        <is>
          <t>Geçiş Faaliyeti</t>
        </is>
      </c>
      <c r="I16" s="13" t="inlineStr">
        <is>
          <t>Hayır</t>
        </is>
      </c>
      <c r="J16" s="13" t="inlineStr">
        <is>
          <t>Evet</t>
        </is>
      </c>
      <c r="K16" s="13" t="inlineStr">
        <is>
          <t>Evet</t>
        </is>
      </c>
      <c r="L16" s="13" t="inlineStr">
        <is>
          <t>Evet</t>
        </is>
      </c>
      <c r="M16" s="13" t="inlineStr"/>
      <c r="N16" s="13" t="inlineStr"/>
      <c r="O16" s="13" t="inlineStr"/>
      <c r="P16" s="13" t="inlineStr"/>
      <c r="Q16" s="13" t="inlineStr">
        <is>
          <t>Yayımlanmamış / Doğrulanmalı</t>
        </is>
      </c>
      <c r="R16" s="13" t="inlineStr">
        <is>
          <t>Faaliyet hacmi; enerji, yakıt, su, atık ve sera gazı verileri; hasılat, CAPEX ve OPEX; teknik performans göstergeleri.</t>
        </is>
      </c>
      <c r="S16" s="13" t="inlineStr">
        <is>
          <t>İzin ve ruhsatlar; sayaç/fatura kayıtları; emisyon ve atık beyanları; proje/teknik raporlar; doğrulama ve sosyal koruma belgeleri.</t>
        </is>
      </c>
      <c r="T16" s="13" t="inlineStr">
        <is>
          <t>NACE kodu eşleştirmeyi destekler; tek başına taksonomi uyumluluğunu kanıtlamaz.</t>
        </is>
      </c>
      <c r="U16" s="14" t="inlineStr">
        <is>
          <t>Türkiye Yeşil Taksonomisi Yönetmeliği, EK-1</t>
        </is>
      </c>
    </row>
    <row r="17">
      <c r="A17" s="13" t="n">
        <v>15</v>
      </c>
      <c r="B17" s="13" t="n">
        <v>3</v>
      </c>
      <c r="C17" s="13" t="inlineStr">
        <is>
          <t>İmalat Faaliyetleri</t>
        </is>
      </c>
      <c r="D17" s="13" t="inlineStr">
        <is>
          <t>A-3.10; B-3.10</t>
        </is>
      </c>
      <c r="E17" s="13" t="inlineStr">
        <is>
          <t>Hidrojen İmalatı</t>
        </is>
      </c>
      <c r="F17" s="13" t="inlineStr">
        <is>
          <t>EK-1 faaliyet başlığıdır. Ayrıntılı kapsam ve eşikler için yayımlanacak resmi teknik tarama kriterleri incelenmelidir.</t>
        </is>
      </c>
      <c r="G17" s="13" t="inlineStr"/>
      <c r="H17" s="13" t="inlineStr">
        <is>
          <t>Diğer / Genel Faaliyet</t>
        </is>
      </c>
      <c r="I17" s="13" t="inlineStr">
        <is>
          <t>Hayır</t>
        </is>
      </c>
      <c r="J17" s="13" t="inlineStr">
        <is>
          <t>Hayır</t>
        </is>
      </c>
      <c r="K17" s="13" t="inlineStr">
        <is>
          <t>Evet</t>
        </is>
      </c>
      <c r="L17" s="13" t="inlineStr">
        <is>
          <t>Evet</t>
        </is>
      </c>
      <c r="M17" s="13" t="inlineStr"/>
      <c r="N17" s="13" t="inlineStr"/>
      <c r="O17" s="13" t="inlineStr"/>
      <c r="P17" s="13" t="inlineStr"/>
      <c r="Q17" s="13" t="inlineStr">
        <is>
          <t>Yayımlanmamış / Doğrulanmalı</t>
        </is>
      </c>
      <c r="R17" s="13" t="inlineStr">
        <is>
          <t>Faaliyet hacmi; enerji, yakıt, su, atık ve sera gazı verileri; hasılat, CAPEX ve OPEX; teknik performans göstergeleri.</t>
        </is>
      </c>
      <c r="S17" s="13" t="inlineStr">
        <is>
          <t>İzin ve ruhsatlar; sayaç/fatura kayıtları; emisyon ve atık beyanları; proje/teknik raporlar; doğrulama ve sosyal koruma belgeleri.</t>
        </is>
      </c>
      <c r="T17" s="13" t="inlineStr">
        <is>
          <t>NACE kodu eşleştirmeyi destekler; tek başına taksonomi uyumluluğunu kanıtlamaz.</t>
        </is>
      </c>
      <c r="U17" s="14" t="inlineStr">
        <is>
          <t>Türkiye Yeşil Taksonomisi Yönetmeliği, EK-1</t>
        </is>
      </c>
    </row>
    <row r="18">
      <c r="A18" s="13" t="n">
        <v>16</v>
      </c>
      <c r="B18" s="13" t="n">
        <v>3</v>
      </c>
      <c r="C18" s="13" t="inlineStr">
        <is>
          <t>İmalat Faaliyetleri</t>
        </is>
      </c>
      <c r="D18" s="13" t="inlineStr">
        <is>
          <t>A-3.11; B-3.11</t>
        </is>
      </c>
      <c r="E18" s="13" t="inlineStr">
        <is>
          <t>Karbon Siyahı İmalatı</t>
        </is>
      </c>
      <c r="F18" s="13" t="inlineStr">
        <is>
          <t>EK-1 faaliyet başlığıdır. Ayrıntılı kapsam ve eşikler için yayımlanacak resmi teknik tarama kriterleri incelenmelidir.</t>
        </is>
      </c>
      <c r="G18" s="13" t="inlineStr"/>
      <c r="H18" s="13" t="inlineStr">
        <is>
          <t>Geçiş Faaliyeti</t>
        </is>
      </c>
      <c r="I18" s="13" t="inlineStr">
        <is>
          <t>Hayır</t>
        </is>
      </c>
      <c r="J18" s="13" t="inlineStr">
        <is>
          <t>Evet</t>
        </is>
      </c>
      <c r="K18" s="13" t="inlineStr">
        <is>
          <t>Evet</t>
        </is>
      </c>
      <c r="L18" s="13" t="inlineStr">
        <is>
          <t>Evet</t>
        </is>
      </c>
      <c r="M18" s="13" t="inlineStr"/>
      <c r="N18" s="13" t="inlineStr"/>
      <c r="O18" s="13" t="inlineStr"/>
      <c r="P18" s="13" t="inlineStr"/>
      <c r="Q18" s="13" t="inlineStr">
        <is>
          <t>Yayımlanmamış / Doğrulanmalı</t>
        </is>
      </c>
      <c r="R18" s="13" t="inlineStr">
        <is>
          <t>Faaliyet hacmi; enerji, yakıt, su, atık ve sera gazı verileri; hasılat, CAPEX ve OPEX; teknik performans göstergeleri.</t>
        </is>
      </c>
      <c r="S18" s="13" t="inlineStr">
        <is>
          <t>İzin ve ruhsatlar; sayaç/fatura kayıtları; emisyon ve atık beyanları; proje/teknik raporlar; doğrulama ve sosyal koruma belgeleri.</t>
        </is>
      </c>
      <c r="T18" s="13" t="inlineStr">
        <is>
          <t>NACE kodu eşleştirmeyi destekler; tek başına taksonomi uyumluluğunu kanıtlamaz.</t>
        </is>
      </c>
      <c r="U18" s="14" t="inlineStr">
        <is>
          <t>Türkiye Yeşil Taksonomisi Yönetmeliği, EK-1</t>
        </is>
      </c>
    </row>
    <row r="19">
      <c r="A19" s="13" t="n">
        <v>17</v>
      </c>
      <c r="B19" s="13" t="n">
        <v>3</v>
      </c>
      <c r="C19" s="13" t="inlineStr">
        <is>
          <t>İmalat Faaliyetleri</t>
        </is>
      </c>
      <c r="D19" s="13" t="inlineStr">
        <is>
          <t>A-3.12; B-3.12</t>
        </is>
      </c>
      <c r="E19" s="13" t="inlineStr">
        <is>
          <t>Soda Külü İmalatı</t>
        </is>
      </c>
      <c r="F19" s="13" t="inlineStr">
        <is>
          <t>EK-1 faaliyet başlığıdır. Ayrıntılı kapsam ve eşikler için yayımlanacak resmi teknik tarama kriterleri incelenmelidir.</t>
        </is>
      </c>
      <c r="G19" s="13" t="inlineStr"/>
      <c r="H19" s="13" t="inlineStr">
        <is>
          <t>Geçiş Faaliyeti</t>
        </is>
      </c>
      <c r="I19" s="13" t="inlineStr">
        <is>
          <t>Hayır</t>
        </is>
      </c>
      <c r="J19" s="13" t="inlineStr">
        <is>
          <t>Evet</t>
        </is>
      </c>
      <c r="K19" s="13" t="inlineStr">
        <is>
          <t>Evet</t>
        </is>
      </c>
      <c r="L19" s="13" t="inlineStr">
        <is>
          <t>Evet</t>
        </is>
      </c>
      <c r="M19" s="13" t="inlineStr"/>
      <c r="N19" s="13" t="inlineStr"/>
      <c r="O19" s="13" t="inlineStr"/>
      <c r="P19" s="13" t="inlineStr"/>
      <c r="Q19" s="13" t="inlineStr">
        <is>
          <t>Yayımlanmamış / Doğrulanmalı</t>
        </is>
      </c>
      <c r="R19" s="13" t="inlineStr">
        <is>
          <t>Faaliyet hacmi; enerji, yakıt, su, atık ve sera gazı verileri; hasılat, CAPEX ve OPEX; teknik performans göstergeleri.</t>
        </is>
      </c>
      <c r="S19" s="13" t="inlineStr">
        <is>
          <t>İzin ve ruhsatlar; sayaç/fatura kayıtları; emisyon ve atık beyanları; proje/teknik raporlar; doğrulama ve sosyal koruma belgeleri.</t>
        </is>
      </c>
      <c r="T19" s="13" t="inlineStr">
        <is>
          <t>NACE kodu eşleştirmeyi destekler; tek başına taksonomi uyumluluğunu kanıtlamaz.</t>
        </is>
      </c>
      <c r="U19" s="14" t="inlineStr">
        <is>
          <t>Türkiye Yeşil Taksonomisi Yönetmeliği, EK-1</t>
        </is>
      </c>
    </row>
    <row r="20">
      <c r="A20" s="13" t="n">
        <v>18</v>
      </c>
      <c r="B20" s="13" t="n">
        <v>3</v>
      </c>
      <c r="C20" s="13" t="inlineStr">
        <is>
          <t>İmalat Faaliyetleri</t>
        </is>
      </c>
      <c r="D20" s="13" t="inlineStr">
        <is>
          <t>A-3.13; B-3.13</t>
        </is>
      </c>
      <c r="E20" s="13" t="inlineStr">
        <is>
          <t>Klor İmalatı</t>
        </is>
      </c>
      <c r="F20" s="13" t="inlineStr">
        <is>
          <t>EK-1 faaliyet başlığıdır. Ayrıntılı kapsam ve eşikler için yayımlanacak resmi teknik tarama kriterleri incelenmelidir.</t>
        </is>
      </c>
      <c r="G20" s="13" t="inlineStr"/>
      <c r="H20" s="13" t="inlineStr">
        <is>
          <t>Geçiş Faaliyeti</t>
        </is>
      </c>
      <c r="I20" s="13" t="inlineStr">
        <is>
          <t>Hayır</t>
        </is>
      </c>
      <c r="J20" s="13" t="inlineStr">
        <is>
          <t>Evet</t>
        </is>
      </c>
      <c r="K20" s="13" t="inlineStr">
        <is>
          <t>Evet</t>
        </is>
      </c>
      <c r="L20" s="13" t="inlineStr">
        <is>
          <t>Evet</t>
        </is>
      </c>
      <c r="M20" s="13" t="inlineStr"/>
      <c r="N20" s="13" t="inlineStr"/>
      <c r="O20" s="13" t="inlineStr"/>
      <c r="P20" s="13" t="inlineStr"/>
      <c r="Q20" s="13" t="inlineStr">
        <is>
          <t>Yayımlanmamış / Doğrulanmalı</t>
        </is>
      </c>
      <c r="R20" s="13" t="inlineStr">
        <is>
          <t>Faaliyet hacmi; enerji, yakıt, su, atık ve sera gazı verileri; hasılat, CAPEX ve OPEX; teknik performans göstergeleri.</t>
        </is>
      </c>
      <c r="S20" s="13" t="inlineStr">
        <is>
          <t>İzin ve ruhsatlar; sayaç/fatura kayıtları; emisyon ve atık beyanları; proje/teknik raporlar; doğrulama ve sosyal koruma belgeleri.</t>
        </is>
      </c>
      <c r="T20" s="13" t="inlineStr">
        <is>
          <t>NACE kodu eşleştirmeyi destekler; tek başına taksonomi uyumluluğunu kanıtlamaz.</t>
        </is>
      </c>
      <c r="U20" s="14" t="inlineStr">
        <is>
          <t>Türkiye Yeşil Taksonomisi Yönetmeliği, EK-1</t>
        </is>
      </c>
    </row>
    <row r="21">
      <c r="A21" s="13" t="n">
        <v>19</v>
      </c>
      <c r="B21" s="13" t="n">
        <v>3</v>
      </c>
      <c r="C21" s="13" t="inlineStr">
        <is>
          <t>İmalat Faaliyetleri</t>
        </is>
      </c>
      <c r="D21" s="13" t="inlineStr">
        <is>
          <t>A-3.14; B-3.14</t>
        </is>
      </c>
      <c r="E21" s="13" t="inlineStr">
        <is>
          <t>Organik Temel Kimyasalların İmalatı</t>
        </is>
      </c>
      <c r="F21" s="13" t="inlineStr">
        <is>
          <t>EK-1 faaliyet başlığıdır. Ayrıntılı kapsam ve eşikler için yayımlanacak resmi teknik tarama kriterleri incelenmelidir.</t>
        </is>
      </c>
      <c r="G21" s="13" t="inlineStr"/>
      <c r="H21" s="13" t="inlineStr">
        <is>
          <t>Geçiş Faaliyeti</t>
        </is>
      </c>
      <c r="I21" s="13" t="inlineStr">
        <is>
          <t>Hayır</t>
        </is>
      </c>
      <c r="J21" s="13" t="inlineStr">
        <is>
          <t>Evet</t>
        </is>
      </c>
      <c r="K21" s="13" t="inlineStr">
        <is>
          <t>Evet</t>
        </is>
      </c>
      <c r="L21" s="13" t="inlineStr">
        <is>
          <t>Evet</t>
        </is>
      </c>
      <c r="M21" s="13" t="inlineStr"/>
      <c r="N21" s="13" t="inlineStr"/>
      <c r="O21" s="13" t="inlineStr"/>
      <c r="P21" s="13" t="inlineStr"/>
      <c r="Q21" s="13" t="inlineStr">
        <is>
          <t>Yayımlanmamış / Doğrulanmalı</t>
        </is>
      </c>
      <c r="R21" s="13" t="inlineStr">
        <is>
          <t>Faaliyet hacmi; enerji, yakıt, su, atık ve sera gazı verileri; hasılat, CAPEX ve OPEX; teknik performans göstergeleri.</t>
        </is>
      </c>
      <c r="S21" s="13" t="inlineStr">
        <is>
          <t>İzin ve ruhsatlar; sayaç/fatura kayıtları; emisyon ve atık beyanları; proje/teknik raporlar; doğrulama ve sosyal koruma belgeleri.</t>
        </is>
      </c>
      <c r="T21" s="13" t="inlineStr">
        <is>
          <t>NACE kodu eşleştirmeyi destekler; tek başına taksonomi uyumluluğunu kanıtlamaz.</t>
        </is>
      </c>
      <c r="U21" s="14" t="inlineStr">
        <is>
          <t>Türkiye Yeşil Taksonomisi Yönetmeliği, EK-1</t>
        </is>
      </c>
    </row>
    <row r="22">
      <c r="A22" s="13" t="n">
        <v>20</v>
      </c>
      <c r="B22" s="13" t="n">
        <v>3</v>
      </c>
      <c r="C22" s="13" t="inlineStr">
        <is>
          <t>İmalat Faaliyetleri</t>
        </is>
      </c>
      <c r="D22" s="13" t="inlineStr">
        <is>
          <t>A-3.15; B-3.15</t>
        </is>
      </c>
      <c r="E22" s="13" t="inlineStr">
        <is>
          <t>Susuz Amonyak İmalatı</t>
        </is>
      </c>
      <c r="F22" s="13" t="inlineStr">
        <is>
          <t>EK-1 faaliyet başlığıdır. Ayrıntılı kapsam ve eşikler için yayımlanacak resmi teknik tarama kriterleri incelenmelidir.</t>
        </is>
      </c>
      <c r="G22" s="13" t="inlineStr"/>
      <c r="H22" s="13" t="inlineStr">
        <is>
          <t>Diğer / Genel Faaliyet</t>
        </is>
      </c>
      <c r="I22" s="13" t="inlineStr">
        <is>
          <t>Hayır</t>
        </is>
      </c>
      <c r="J22" s="13" t="inlineStr">
        <is>
          <t>Hayır</t>
        </is>
      </c>
      <c r="K22" s="13" t="inlineStr">
        <is>
          <t>Evet</t>
        </is>
      </c>
      <c r="L22" s="13" t="inlineStr">
        <is>
          <t>Evet</t>
        </is>
      </c>
      <c r="M22" s="13" t="inlineStr"/>
      <c r="N22" s="13" t="inlineStr"/>
      <c r="O22" s="13" t="inlineStr"/>
      <c r="P22" s="13" t="inlineStr"/>
      <c r="Q22" s="13" t="inlineStr">
        <is>
          <t>Yayımlanmamış / Doğrulanmalı</t>
        </is>
      </c>
      <c r="R22" s="13" t="inlineStr">
        <is>
          <t>Faaliyet hacmi; enerji, yakıt, su, atık ve sera gazı verileri; hasılat, CAPEX ve OPEX; teknik performans göstergeleri.</t>
        </is>
      </c>
      <c r="S22" s="13" t="inlineStr">
        <is>
          <t>İzin ve ruhsatlar; sayaç/fatura kayıtları; emisyon ve atık beyanları; proje/teknik raporlar; doğrulama ve sosyal koruma belgeleri.</t>
        </is>
      </c>
      <c r="T22" s="13" t="inlineStr">
        <is>
          <t>NACE kodu eşleştirmeyi destekler; tek başına taksonomi uyumluluğunu kanıtlamaz.</t>
        </is>
      </c>
      <c r="U22" s="14" t="inlineStr">
        <is>
          <t>Türkiye Yeşil Taksonomisi Yönetmeliği, EK-1</t>
        </is>
      </c>
    </row>
    <row r="23">
      <c r="A23" s="13" t="n">
        <v>21</v>
      </c>
      <c r="B23" s="13" t="n">
        <v>3</v>
      </c>
      <c r="C23" s="13" t="inlineStr">
        <is>
          <t>İmalat Faaliyetleri</t>
        </is>
      </c>
      <c r="D23" s="13" t="inlineStr">
        <is>
          <t>A-3.16; B-3.16</t>
        </is>
      </c>
      <c r="E23" s="13" t="inlineStr">
        <is>
          <t>Nitrik Asit İmalatı</t>
        </is>
      </c>
      <c r="F23" s="13" t="inlineStr">
        <is>
          <t>EK-1 faaliyet başlığıdır. Ayrıntılı kapsam ve eşikler için yayımlanacak resmi teknik tarama kriterleri incelenmelidir.</t>
        </is>
      </c>
      <c r="G23" s="13" t="inlineStr"/>
      <c r="H23" s="13" t="inlineStr">
        <is>
          <t>Geçiş Faaliyeti</t>
        </is>
      </c>
      <c r="I23" s="13" t="inlineStr">
        <is>
          <t>Hayır</t>
        </is>
      </c>
      <c r="J23" s="13" t="inlineStr">
        <is>
          <t>Evet</t>
        </is>
      </c>
      <c r="K23" s="13" t="inlineStr">
        <is>
          <t>Evet</t>
        </is>
      </c>
      <c r="L23" s="13" t="inlineStr">
        <is>
          <t>Evet</t>
        </is>
      </c>
      <c r="M23" s="13" t="inlineStr"/>
      <c r="N23" s="13" t="inlineStr"/>
      <c r="O23" s="13" t="inlineStr"/>
      <c r="P23" s="13" t="inlineStr"/>
      <c r="Q23" s="13" t="inlineStr">
        <is>
          <t>Yayımlanmamış / Doğrulanmalı</t>
        </is>
      </c>
      <c r="R23" s="13" t="inlineStr">
        <is>
          <t>Faaliyet hacmi; enerji, yakıt, su, atık ve sera gazı verileri; hasılat, CAPEX ve OPEX; teknik performans göstergeleri.</t>
        </is>
      </c>
      <c r="S23" s="13" t="inlineStr">
        <is>
          <t>İzin ve ruhsatlar; sayaç/fatura kayıtları; emisyon ve atık beyanları; proje/teknik raporlar; doğrulama ve sosyal koruma belgeleri.</t>
        </is>
      </c>
      <c r="T23" s="13" t="inlineStr">
        <is>
          <t>NACE kodu eşleştirmeyi destekler; tek başına taksonomi uyumluluğunu kanıtlamaz.</t>
        </is>
      </c>
      <c r="U23" s="14" t="inlineStr">
        <is>
          <t>Türkiye Yeşil Taksonomisi Yönetmeliği, EK-1</t>
        </is>
      </c>
    </row>
    <row r="24">
      <c r="A24" s="13" t="n">
        <v>22</v>
      </c>
      <c r="B24" s="13" t="n">
        <v>3</v>
      </c>
      <c r="C24" s="13" t="inlineStr">
        <is>
          <t>İmalat Faaliyetleri</t>
        </is>
      </c>
      <c r="D24" s="13" t="inlineStr">
        <is>
          <t>A-3.17; B-3.17</t>
        </is>
      </c>
      <c r="E24" s="13" t="inlineStr">
        <is>
          <t>Birincil Formdaki Plastiklerin İmalatı</t>
        </is>
      </c>
      <c r="F24" s="13" t="inlineStr">
        <is>
          <t>EK-1 faaliyet başlığıdır. Ayrıntılı kapsam ve eşikler için yayımlanacak resmi teknik tarama kriterleri incelenmelidir.</t>
        </is>
      </c>
      <c r="G24" s="13" t="inlineStr"/>
      <c r="H24" s="13" t="inlineStr">
        <is>
          <t>Geçiş Faaliyeti</t>
        </is>
      </c>
      <c r="I24" s="13" t="inlineStr">
        <is>
          <t>Hayır</t>
        </is>
      </c>
      <c r="J24" s="13" t="inlineStr">
        <is>
          <t>Evet</t>
        </is>
      </c>
      <c r="K24" s="13" t="inlineStr">
        <is>
          <t>Evet</t>
        </is>
      </c>
      <c r="L24" s="13" t="inlineStr">
        <is>
          <t>Evet</t>
        </is>
      </c>
      <c r="M24" s="13" t="inlineStr"/>
      <c r="N24" s="13" t="inlineStr"/>
      <c r="O24" s="13" t="inlineStr"/>
      <c r="P24" s="13" t="inlineStr"/>
      <c r="Q24" s="13" t="inlineStr">
        <is>
          <t>Yayımlanmamış / Doğrulanmalı</t>
        </is>
      </c>
      <c r="R24" s="13" t="inlineStr">
        <is>
          <t>Faaliyet hacmi; enerji, yakıt, su, atık ve sera gazı verileri; hasılat, CAPEX ve OPEX; teknik performans göstergeleri.</t>
        </is>
      </c>
      <c r="S24" s="13" t="inlineStr">
        <is>
          <t>İzin ve ruhsatlar; sayaç/fatura kayıtları; emisyon ve atık beyanları; proje/teknik raporlar; doğrulama ve sosyal koruma belgeleri.</t>
        </is>
      </c>
      <c r="T24" s="13" t="inlineStr">
        <is>
          <t>NACE kodu eşleştirmeyi destekler; tek başına taksonomi uyumluluğunu kanıtlamaz.</t>
        </is>
      </c>
      <c r="U24" s="14" t="inlineStr">
        <is>
          <t>Türkiye Yeşil Taksonomisi Yönetmeliği, EK-1</t>
        </is>
      </c>
    </row>
    <row r="25">
      <c r="A25" s="13" t="n">
        <v>23</v>
      </c>
      <c r="B25" s="13" t="n">
        <v>4</v>
      </c>
      <c r="C25" s="13" t="inlineStr">
        <is>
          <t>Enerji Faaliyetleri</t>
        </is>
      </c>
      <c r="D25" s="13" t="inlineStr">
        <is>
          <t>A-4.1; B-4.1</t>
        </is>
      </c>
      <c r="E25" s="13" t="inlineStr">
        <is>
          <t>Fotovoltaik Teknolojisi Kullanılarak Elektrik Üretimi</t>
        </is>
      </c>
      <c r="F25" s="13" t="inlineStr">
        <is>
          <t>EK-1 faaliyet başlığıdır. Ayrıntılı kapsam ve eşikler için yayımlanacak resmi teknik tarama kriterleri incelenmelidir.</t>
        </is>
      </c>
      <c r="G25" s="13" t="inlineStr"/>
      <c r="H25" s="13" t="inlineStr">
        <is>
          <t>Diğer / Genel Faaliyet</t>
        </is>
      </c>
      <c r="I25" s="13" t="inlineStr">
        <is>
          <t>Hayır</t>
        </is>
      </c>
      <c r="J25" s="13" t="inlineStr">
        <is>
          <t>Hayır</t>
        </is>
      </c>
      <c r="K25" s="13" t="inlineStr">
        <is>
          <t>Evet</t>
        </is>
      </c>
      <c r="L25" s="13" t="inlineStr">
        <is>
          <t>Evet</t>
        </is>
      </c>
      <c r="M25" s="13" t="inlineStr"/>
      <c r="N25" s="13" t="inlineStr"/>
      <c r="O25" s="13" t="inlineStr"/>
      <c r="P25" s="13" t="inlineStr"/>
      <c r="Q25" s="13" t="inlineStr">
        <is>
          <t>Yayımlanmamış / Doğrulanmalı</t>
        </is>
      </c>
      <c r="R25" s="13" t="inlineStr">
        <is>
          <t>Faaliyet hacmi; enerji, yakıt, su, atık ve sera gazı verileri; hasılat, CAPEX ve OPEX; teknik performans göstergeleri.</t>
        </is>
      </c>
      <c r="S25" s="13" t="inlineStr">
        <is>
          <t>İzin ve ruhsatlar; sayaç/fatura kayıtları; emisyon ve atık beyanları; proje/teknik raporlar; doğrulama ve sosyal koruma belgeleri.</t>
        </is>
      </c>
      <c r="T25" s="13" t="inlineStr">
        <is>
          <t>NACE kodu eşleştirmeyi destekler; tek başına taksonomi uyumluluğunu kanıtlamaz.</t>
        </is>
      </c>
      <c r="U25" s="14" t="inlineStr">
        <is>
          <t>Türkiye Yeşil Taksonomisi Yönetmeliği, EK-1</t>
        </is>
      </c>
    </row>
    <row r="26">
      <c r="A26" s="13" t="n">
        <v>24</v>
      </c>
      <c r="B26" s="13" t="n">
        <v>4</v>
      </c>
      <c r="C26" s="13" t="inlineStr">
        <is>
          <t>Enerji Faaliyetleri</t>
        </is>
      </c>
      <c r="D26" s="13" t="inlineStr">
        <is>
          <t>A-4.2; B-4.2</t>
        </is>
      </c>
      <c r="E26" s="13" t="inlineStr">
        <is>
          <t>Yoğunlaştırılmış Güneş Enerjisi (CSP) Teknolojisi Kullanılarak Elektrik Üretimi</t>
        </is>
      </c>
      <c r="F26" s="13" t="inlineStr">
        <is>
          <t>EK-1 faaliyet başlığıdır. Ayrıntılı kapsam ve eşikler için yayımlanacak resmi teknik tarama kriterleri incelenmelidir.</t>
        </is>
      </c>
      <c r="G26" s="13" t="inlineStr"/>
      <c r="H26" s="13" t="inlineStr">
        <is>
          <t>Diğer / Genel Faaliyet</t>
        </is>
      </c>
      <c r="I26" s="13" t="inlineStr">
        <is>
          <t>Hayır</t>
        </is>
      </c>
      <c r="J26" s="13" t="inlineStr">
        <is>
          <t>Hayır</t>
        </is>
      </c>
      <c r="K26" s="13" t="inlineStr">
        <is>
          <t>Evet</t>
        </is>
      </c>
      <c r="L26" s="13" t="inlineStr">
        <is>
          <t>Evet</t>
        </is>
      </c>
      <c r="M26" s="13" t="inlineStr"/>
      <c r="N26" s="13" t="inlineStr"/>
      <c r="O26" s="13" t="inlineStr"/>
      <c r="P26" s="13" t="inlineStr"/>
      <c r="Q26" s="13" t="inlineStr">
        <is>
          <t>Yayımlanmamış / Doğrulanmalı</t>
        </is>
      </c>
      <c r="R26" s="13" t="inlineStr">
        <is>
          <t>Faaliyet hacmi; enerji, yakıt, su, atık ve sera gazı verileri; hasılat, CAPEX ve OPEX; teknik performans göstergeleri.</t>
        </is>
      </c>
      <c r="S26" s="13" t="inlineStr">
        <is>
          <t>İzin ve ruhsatlar; sayaç/fatura kayıtları; emisyon ve atık beyanları; proje/teknik raporlar; doğrulama ve sosyal koruma belgeleri.</t>
        </is>
      </c>
      <c r="T26" s="13" t="inlineStr">
        <is>
          <t>NACE kodu eşleştirmeyi destekler; tek başına taksonomi uyumluluğunu kanıtlamaz.</t>
        </is>
      </c>
      <c r="U26" s="14" t="inlineStr">
        <is>
          <t>Türkiye Yeşil Taksonomisi Yönetmeliği, EK-1</t>
        </is>
      </c>
    </row>
    <row r="27">
      <c r="A27" s="13" t="n">
        <v>25</v>
      </c>
      <c r="B27" s="13" t="n">
        <v>4</v>
      </c>
      <c r="C27" s="13" t="inlineStr">
        <is>
          <t>Enerji Faaliyetleri</t>
        </is>
      </c>
      <c r="D27" s="13" t="inlineStr">
        <is>
          <t>A-4.3; B-4.3</t>
        </is>
      </c>
      <c r="E27" s="13" t="inlineStr">
        <is>
          <t>Rüzgâr Enerjisinden Elektrik Üretimi</t>
        </is>
      </c>
      <c r="F27" s="13" t="inlineStr">
        <is>
          <t>EK-1 faaliyet başlığıdır. Ayrıntılı kapsam ve eşikler için yayımlanacak resmi teknik tarama kriterleri incelenmelidir.</t>
        </is>
      </c>
      <c r="G27" s="13" t="inlineStr"/>
      <c r="H27" s="13" t="inlineStr">
        <is>
          <t>Diğer / Genel Faaliyet</t>
        </is>
      </c>
      <c r="I27" s="13" t="inlineStr">
        <is>
          <t>Hayır</t>
        </is>
      </c>
      <c r="J27" s="13" t="inlineStr">
        <is>
          <t>Hayır</t>
        </is>
      </c>
      <c r="K27" s="13" t="inlineStr">
        <is>
          <t>Evet</t>
        </is>
      </c>
      <c r="L27" s="13" t="inlineStr">
        <is>
          <t>Evet</t>
        </is>
      </c>
      <c r="M27" s="13" t="inlineStr"/>
      <c r="N27" s="13" t="inlineStr"/>
      <c r="O27" s="13" t="inlineStr"/>
      <c r="P27" s="13" t="inlineStr"/>
      <c r="Q27" s="13" t="inlineStr">
        <is>
          <t>Yayımlanmamış / Doğrulanmalı</t>
        </is>
      </c>
      <c r="R27" s="13" t="inlineStr">
        <is>
          <t>Faaliyet hacmi; enerji, yakıt, su, atık ve sera gazı verileri; hasılat, CAPEX ve OPEX; teknik performans göstergeleri.</t>
        </is>
      </c>
      <c r="S27" s="13" t="inlineStr">
        <is>
          <t>İzin ve ruhsatlar; sayaç/fatura kayıtları; emisyon ve atık beyanları; proje/teknik raporlar; doğrulama ve sosyal koruma belgeleri.</t>
        </is>
      </c>
      <c r="T27" s="13" t="inlineStr">
        <is>
          <t>NACE kodu eşleştirmeyi destekler; tek başına taksonomi uyumluluğunu kanıtlamaz.</t>
        </is>
      </c>
      <c r="U27" s="14" t="inlineStr">
        <is>
          <t>Türkiye Yeşil Taksonomisi Yönetmeliği, EK-1</t>
        </is>
      </c>
    </row>
    <row r="28">
      <c r="A28" s="13" t="n">
        <v>26</v>
      </c>
      <c r="B28" s="13" t="n">
        <v>4</v>
      </c>
      <c r="C28" s="13" t="inlineStr">
        <is>
          <t>Enerji Faaliyetleri</t>
        </is>
      </c>
      <c r="D28" s="13" t="inlineStr">
        <is>
          <t>A-4.4; B-4.4</t>
        </is>
      </c>
      <c r="E28" s="13" t="inlineStr">
        <is>
          <t>Dalga Enerjisi Teknolojilerinden Elektrik Üretimi</t>
        </is>
      </c>
      <c r="F28" s="13" t="inlineStr">
        <is>
          <t>EK-1 faaliyet başlığıdır. Ayrıntılı kapsam ve eşikler için yayımlanacak resmi teknik tarama kriterleri incelenmelidir.</t>
        </is>
      </c>
      <c r="G28" s="13" t="inlineStr"/>
      <c r="H28" s="13" t="inlineStr">
        <is>
          <t>Diğer / Genel Faaliyet</t>
        </is>
      </c>
      <c r="I28" s="13" t="inlineStr">
        <is>
          <t>Hayır</t>
        </is>
      </c>
      <c r="J28" s="13" t="inlineStr">
        <is>
          <t>Hayır</t>
        </is>
      </c>
      <c r="K28" s="13" t="inlineStr">
        <is>
          <t>Evet</t>
        </is>
      </c>
      <c r="L28" s="13" t="inlineStr">
        <is>
          <t>Evet</t>
        </is>
      </c>
      <c r="M28" s="13" t="inlineStr"/>
      <c r="N28" s="13" t="inlineStr"/>
      <c r="O28" s="13" t="inlineStr"/>
      <c r="P28" s="13" t="inlineStr"/>
      <c r="Q28" s="13" t="inlineStr">
        <is>
          <t>Yayımlanmamış / Doğrulanmalı</t>
        </is>
      </c>
      <c r="R28" s="13" t="inlineStr">
        <is>
          <t>Faaliyet hacmi; enerji, yakıt, su, atık ve sera gazı verileri; hasılat, CAPEX ve OPEX; teknik performans göstergeleri.</t>
        </is>
      </c>
      <c r="S28" s="13" t="inlineStr">
        <is>
          <t>İzin ve ruhsatlar; sayaç/fatura kayıtları; emisyon ve atık beyanları; proje/teknik raporlar; doğrulama ve sosyal koruma belgeleri.</t>
        </is>
      </c>
      <c r="T28" s="13" t="inlineStr">
        <is>
          <t>NACE kodu eşleştirmeyi destekler; tek başına taksonomi uyumluluğunu kanıtlamaz.</t>
        </is>
      </c>
      <c r="U28" s="14" t="inlineStr">
        <is>
          <t>Türkiye Yeşil Taksonomisi Yönetmeliği, EK-1</t>
        </is>
      </c>
    </row>
    <row r="29">
      <c r="A29" s="13" t="n">
        <v>27</v>
      </c>
      <c r="B29" s="13" t="n">
        <v>4</v>
      </c>
      <c r="C29" s="13" t="inlineStr">
        <is>
          <t>Enerji Faaliyetleri</t>
        </is>
      </c>
      <c r="D29" s="13" t="inlineStr">
        <is>
          <t>A-4.5; B-4.5</t>
        </is>
      </c>
      <c r="E29" s="13" t="inlineStr">
        <is>
          <t>Hidroelektrik Enerjiden Elektrik Üretimi</t>
        </is>
      </c>
      <c r="F29" s="13" t="inlineStr">
        <is>
          <t>EK-1 faaliyet başlığıdır. Ayrıntılı kapsam ve eşikler için yayımlanacak resmi teknik tarama kriterleri incelenmelidir.</t>
        </is>
      </c>
      <c r="G29" s="13" t="inlineStr"/>
      <c r="H29" s="13" t="inlineStr">
        <is>
          <t>Diğer / Genel Faaliyet</t>
        </is>
      </c>
      <c r="I29" s="13" t="inlineStr">
        <is>
          <t>Hayır</t>
        </is>
      </c>
      <c r="J29" s="13" t="inlineStr">
        <is>
          <t>Hayır</t>
        </is>
      </c>
      <c r="K29" s="13" t="inlineStr">
        <is>
          <t>Evet</t>
        </is>
      </c>
      <c r="L29" s="13" t="inlineStr">
        <is>
          <t>Evet</t>
        </is>
      </c>
      <c r="M29" s="13" t="inlineStr"/>
      <c r="N29" s="13" t="inlineStr"/>
      <c r="O29" s="13" t="inlineStr"/>
      <c r="P29" s="13" t="inlineStr"/>
      <c r="Q29" s="13" t="inlineStr">
        <is>
          <t>Yayımlanmamış / Doğrulanmalı</t>
        </is>
      </c>
      <c r="R29" s="13" t="inlineStr">
        <is>
          <t>Faaliyet hacmi; enerji, yakıt, su, atık ve sera gazı verileri; hasılat, CAPEX ve OPEX; teknik performans göstergeleri.</t>
        </is>
      </c>
      <c r="S29" s="13" t="inlineStr">
        <is>
          <t>İzin ve ruhsatlar; sayaç/fatura kayıtları; emisyon ve atık beyanları; proje/teknik raporlar; doğrulama ve sosyal koruma belgeleri.</t>
        </is>
      </c>
      <c r="T29" s="13" t="inlineStr">
        <is>
          <t>NACE kodu eşleştirmeyi destekler; tek başına taksonomi uyumluluğunu kanıtlamaz.</t>
        </is>
      </c>
      <c r="U29" s="14" t="inlineStr">
        <is>
          <t>Türkiye Yeşil Taksonomisi Yönetmeliği, EK-1</t>
        </is>
      </c>
    </row>
    <row r="30">
      <c r="A30" s="13" t="n">
        <v>28</v>
      </c>
      <c r="B30" s="13" t="n">
        <v>4</v>
      </c>
      <c r="C30" s="13" t="inlineStr">
        <is>
          <t>Enerji Faaliyetleri</t>
        </is>
      </c>
      <c r="D30" s="13" t="inlineStr">
        <is>
          <t>A-4.6; B-4.6</t>
        </is>
      </c>
      <c r="E30" s="13" t="inlineStr">
        <is>
          <t>Jeotermal Enerjiden Elektrik Üretimi</t>
        </is>
      </c>
      <c r="F30" s="13" t="inlineStr">
        <is>
          <t>EK-1 faaliyet başlığıdır. Ayrıntılı kapsam ve eşikler için yayımlanacak resmi teknik tarama kriterleri incelenmelidir.</t>
        </is>
      </c>
      <c r="G30" s="13" t="inlineStr"/>
      <c r="H30" s="13" t="inlineStr">
        <is>
          <t>Diğer / Genel Faaliyet</t>
        </is>
      </c>
      <c r="I30" s="13" t="inlineStr">
        <is>
          <t>Hayır</t>
        </is>
      </c>
      <c r="J30" s="13" t="inlineStr">
        <is>
          <t>Hayır</t>
        </is>
      </c>
      <c r="K30" s="13" t="inlineStr">
        <is>
          <t>Evet</t>
        </is>
      </c>
      <c r="L30" s="13" t="inlineStr">
        <is>
          <t>Evet</t>
        </is>
      </c>
      <c r="M30" s="13" t="inlineStr"/>
      <c r="N30" s="13" t="inlineStr"/>
      <c r="O30" s="13" t="inlineStr"/>
      <c r="P30" s="13" t="inlineStr"/>
      <c r="Q30" s="13" t="inlineStr">
        <is>
          <t>Yayımlanmamış / Doğrulanmalı</t>
        </is>
      </c>
      <c r="R30" s="13" t="inlineStr">
        <is>
          <t>Faaliyet hacmi; enerji, yakıt, su, atık ve sera gazı verileri; hasılat, CAPEX ve OPEX; teknik performans göstergeleri.</t>
        </is>
      </c>
      <c r="S30" s="13" t="inlineStr">
        <is>
          <t>İzin ve ruhsatlar; sayaç/fatura kayıtları; emisyon ve atık beyanları; proje/teknik raporlar; doğrulama ve sosyal koruma belgeleri.</t>
        </is>
      </c>
      <c r="T30" s="13" t="inlineStr">
        <is>
          <t>NACE kodu eşleştirmeyi destekler; tek başına taksonomi uyumluluğunu kanıtlamaz.</t>
        </is>
      </c>
      <c r="U30" s="14" t="inlineStr">
        <is>
          <t>Türkiye Yeşil Taksonomisi Yönetmeliği, EK-1</t>
        </is>
      </c>
    </row>
    <row r="31">
      <c r="A31" s="13" t="n">
        <v>29</v>
      </c>
      <c r="B31" s="13" t="n">
        <v>4</v>
      </c>
      <c r="C31" s="13" t="inlineStr">
        <is>
          <t>Enerji Faaliyetleri</t>
        </is>
      </c>
      <c r="D31" s="13" t="inlineStr">
        <is>
          <t>A-4.7; B-4.7</t>
        </is>
      </c>
      <c r="E31" s="13" t="inlineStr">
        <is>
          <t>Yenilenebilir Fosil Olmayan Gaz ve Sıvı Yakıtlardan Elektrik Üretimi</t>
        </is>
      </c>
      <c r="F31" s="13" t="inlineStr">
        <is>
          <t>EK-1 faaliyet başlığıdır. Ayrıntılı kapsam ve eşikler için yayımlanacak resmi teknik tarama kriterleri incelenmelidir.</t>
        </is>
      </c>
      <c r="G31" s="13" t="inlineStr"/>
      <c r="H31" s="13" t="inlineStr">
        <is>
          <t>Diğer / Genel Faaliyet</t>
        </is>
      </c>
      <c r="I31" s="13" t="inlineStr">
        <is>
          <t>Hayır</t>
        </is>
      </c>
      <c r="J31" s="13" t="inlineStr">
        <is>
          <t>Hayır</t>
        </is>
      </c>
      <c r="K31" s="13" t="inlineStr">
        <is>
          <t>Evet</t>
        </is>
      </c>
      <c r="L31" s="13" t="inlineStr">
        <is>
          <t>Evet</t>
        </is>
      </c>
      <c r="M31" s="13" t="inlineStr"/>
      <c r="N31" s="13" t="inlineStr"/>
      <c r="O31" s="13" t="inlineStr"/>
      <c r="P31" s="13" t="inlineStr"/>
      <c r="Q31" s="13" t="inlineStr">
        <is>
          <t>Yayımlanmamış / Doğrulanmalı</t>
        </is>
      </c>
      <c r="R31" s="13" t="inlineStr">
        <is>
          <t>Faaliyet hacmi; enerji, yakıt, su, atık ve sera gazı verileri; hasılat, CAPEX ve OPEX; teknik performans göstergeleri.</t>
        </is>
      </c>
      <c r="S31" s="13" t="inlineStr">
        <is>
          <t>İzin ve ruhsatlar; sayaç/fatura kayıtları; emisyon ve atık beyanları; proje/teknik raporlar; doğrulama ve sosyal koruma belgeleri.</t>
        </is>
      </c>
      <c r="T31" s="13" t="inlineStr">
        <is>
          <t>NACE kodu eşleştirmeyi destekler; tek başına taksonomi uyumluluğunu kanıtlamaz.</t>
        </is>
      </c>
      <c r="U31" s="14" t="inlineStr">
        <is>
          <t>Türkiye Yeşil Taksonomisi Yönetmeliği, EK-1</t>
        </is>
      </c>
    </row>
    <row r="32">
      <c r="A32" s="13" t="n">
        <v>30</v>
      </c>
      <c r="B32" s="13" t="n">
        <v>4</v>
      </c>
      <c r="C32" s="13" t="inlineStr">
        <is>
          <t>Enerji Faaliyetleri</t>
        </is>
      </c>
      <c r="D32" s="13" t="inlineStr">
        <is>
          <t>A-4.8; B-4.8</t>
        </is>
      </c>
      <c r="E32" s="13" t="inlineStr">
        <is>
          <t>Biyoenerjiden Elektrik Üretimi</t>
        </is>
      </c>
      <c r="F32" s="13" t="inlineStr">
        <is>
          <t>EK-1 faaliyet başlığıdır. Ayrıntılı kapsam ve eşikler için yayımlanacak resmi teknik tarama kriterleri incelenmelidir.</t>
        </is>
      </c>
      <c r="G32" s="13" t="inlineStr"/>
      <c r="H32" s="13" t="inlineStr">
        <is>
          <t>Diğer / Genel Faaliyet</t>
        </is>
      </c>
      <c r="I32" s="13" t="inlineStr">
        <is>
          <t>Hayır</t>
        </is>
      </c>
      <c r="J32" s="13" t="inlineStr">
        <is>
          <t>Hayır</t>
        </is>
      </c>
      <c r="K32" s="13" t="inlineStr">
        <is>
          <t>Evet</t>
        </is>
      </c>
      <c r="L32" s="13" t="inlineStr">
        <is>
          <t>Evet</t>
        </is>
      </c>
      <c r="M32" s="13" t="inlineStr"/>
      <c r="N32" s="13" t="inlineStr"/>
      <c r="O32" s="13" t="inlineStr"/>
      <c r="P32" s="13" t="inlineStr"/>
      <c r="Q32" s="13" t="inlineStr">
        <is>
          <t>Yayımlanmamış / Doğrulanmalı</t>
        </is>
      </c>
      <c r="R32" s="13" t="inlineStr">
        <is>
          <t>Faaliyet hacmi; enerji, yakıt, su, atık ve sera gazı verileri; hasılat, CAPEX ve OPEX; teknik performans göstergeleri.</t>
        </is>
      </c>
      <c r="S32" s="13" t="inlineStr">
        <is>
          <t>İzin ve ruhsatlar; sayaç/fatura kayıtları; emisyon ve atık beyanları; proje/teknik raporlar; doğrulama ve sosyal koruma belgeleri.</t>
        </is>
      </c>
      <c r="T32" s="13" t="inlineStr">
        <is>
          <t>NACE kodu eşleştirmeyi destekler; tek başına taksonomi uyumluluğunu kanıtlamaz.</t>
        </is>
      </c>
      <c r="U32" s="14" t="inlineStr">
        <is>
          <t>Türkiye Yeşil Taksonomisi Yönetmeliği, EK-1</t>
        </is>
      </c>
    </row>
    <row r="33">
      <c r="A33" s="13" t="n">
        <v>31</v>
      </c>
      <c r="B33" s="13" t="n">
        <v>4</v>
      </c>
      <c r="C33" s="13" t="inlineStr">
        <is>
          <t>Enerji Faaliyetleri</t>
        </is>
      </c>
      <c r="D33" s="13" t="inlineStr">
        <is>
          <t>A-4.9; B-4.9</t>
        </is>
      </c>
      <c r="E33" s="13" t="inlineStr">
        <is>
          <t>Elektrik İletimi ve Dağıtımı</t>
        </is>
      </c>
      <c r="F33" s="13" t="inlineStr">
        <is>
          <t>EK-1 faaliyet başlığıdır. Ayrıntılı kapsam ve eşikler için yayımlanacak resmi teknik tarama kriterleri incelenmelidir.</t>
        </is>
      </c>
      <c r="G33" s="13" t="inlineStr"/>
      <c r="H33" s="13" t="inlineStr">
        <is>
          <t>Kolaylaştırıcı Faaliyet</t>
        </is>
      </c>
      <c r="I33" s="13" t="inlineStr">
        <is>
          <t>Evet</t>
        </is>
      </c>
      <c r="J33" s="13" t="inlineStr">
        <is>
          <t>Hayır</t>
        </is>
      </c>
      <c r="K33" s="13" t="inlineStr">
        <is>
          <t>Evet</t>
        </is>
      </c>
      <c r="L33" s="13" t="inlineStr">
        <is>
          <t>Evet</t>
        </is>
      </c>
      <c r="M33" s="13" t="inlineStr"/>
      <c r="N33" s="13" t="inlineStr"/>
      <c r="O33" s="13" t="inlineStr"/>
      <c r="P33" s="13" t="inlineStr"/>
      <c r="Q33" s="13" t="inlineStr">
        <is>
          <t>Yayımlanmamış / Doğrulanmalı</t>
        </is>
      </c>
      <c r="R33" s="13" t="inlineStr">
        <is>
          <t>Faaliyet hacmi; enerji, yakıt, su, atık ve sera gazı verileri; hasılat, CAPEX ve OPEX; teknik performans göstergeleri.</t>
        </is>
      </c>
      <c r="S33" s="13" t="inlineStr">
        <is>
          <t>İzin ve ruhsatlar; sayaç/fatura kayıtları; emisyon ve atık beyanları; proje/teknik raporlar; doğrulama ve sosyal koruma belgeleri.</t>
        </is>
      </c>
      <c r="T33" s="13" t="inlineStr">
        <is>
          <t>NACE kodu eşleştirmeyi destekler; tek başına taksonomi uyumluluğunu kanıtlamaz.</t>
        </is>
      </c>
      <c r="U33" s="14" t="inlineStr">
        <is>
          <t>Türkiye Yeşil Taksonomisi Yönetmeliği, EK-1</t>
        </is>
      </c>
    </row>
    <row r="34">
      <c r="A34" s="13" t="n">
        <v>32</v>
      </c>
      <c r="B34" s="13" t="n">
        <v>4</v>
      </c>
      <c r="C34" s="13" t="inlineStr">
        <is>
          <t>Enerji Faaliyetleri</t>
        </is>
      </c>
      <c r="D34" s="13" t="inlineStr">
        <is>
          <t>A-4.10; B-4.10</t>
        </is>
      </c>
      <c r="E34" s="13" t="inlineStr">
        <is>
          <t>Elektriğin Depolanması</t>
        </is>
      </c>
      <c r="F34" s="13" t="inlineStr">
        <is>
          <t>EK-1 faaliyet başlığıdır. Ayrıntılı kapsam ve eşikler için yayımlanacak resmi teknik tarama kriterleri incelenmelidir.</t>
        </is>
      </c>
      <c r="G34" s="13" t="inlineStr"/>
      <c r="H34" s="13" t="inlineStr">
        <is>
          <t>Kolaylaştırıcı Faaliyet</t>
        </is>
      </c>
      <c r="I34" s="13" t="inlineStr">
        <is>
          <t>Evet</t>
        </is>
      </c>
      <c r="J34" s="13" t="inlineStr">
        <is>
          <t>Hayır</t>
        </is>
      </c>
      <c r="K34" s="13" t="inlineStr">
        <is>
          <t>Evet</t>
        </is>
      </c>
      <c r="L34" s="13" t="inlineStr">
        <is>
          <t>Evet</t>
        </is>
      </c>
      <c r="M34" s="13" t="inlineStr"/>
      <c r="N34" s="13" t="inlineStr"/>
      <c r="O34" s="13" t="inlineStr"/>
      <c r="P34" s="13" t="inlineStr"/>
      <c r="Q34" s="13" t="inlineStr">
        <is>
          <t>Yayımlanmamış / Doğrulanmalı</t>
        </is>
      </c>
      <c r="R34" s="13" t="inlineStr">
        <is>
          <t>Faaliyet hacmi; enerji, yakıt, su, atık ve sera gazı verileri; hasılat, CAPEX ve OPEX; teknik performans göstergeleri.</t>
        </is>
      </c>
      <c r="S34" s="13" t="inlineStr">
        <is>
          <t>İzin ve ruhsatlar; sayaç/fatura kayıtları; emisyon ve atık beyanları; proje/teknik raporlar; doğrulama ve sosyal koruma belgeleri.</t>
        </is>
      </c>
      <c r="T34" s="13" t="inlineStr">
        <is>
          <t>NACE kodu eşleştirmeyi destekler; tek başına taksonomi uyumluluğunu kanıtlamaz.</t>
        </is>
      </c>
      <c r="U34" s="14" t="inlineStr">
        <is>
          <t>Türkiye Yeşil Taksonomisi Yönetmeliği, EK-1</t>
        </is>
      </c>
    </row>
    <row r="35">
      <c r="A35" s="13" t="n">
        <v>33</v>
      </c>
      <c r="B35" s="13" t="n">
        <v>4</v>
      </c>
      <c r="C35" s="13" t="inlineStr">
        <is>
          <t>Enerji Faaliyetleri</t>
        </is>
      </c>
      <c r="D35" s="13" t="inlineStr">
        <is>
          <t>A-4.11; B-4.11</t>
        </is>
      </c>
      <c r="E35" s="13" t="inlineStr">
        <is>
          <t>Termal Enerjinin Depolanması</t>
        </is>
      </c>
      <c r="F35" s="13" t="inlineStr">
        <is>
          <t>EK-1 faaliyet başlığıdır. Ayrıntılı kapsam ve eşikler için yayımlanacak resmi teknik tarama kriterleri incelenmelidir.</t>
        </is>
      </c>
      <c r="G35" s="13" t="inlineStr"/>
      <c r="H35" s="13" t="inlineStr">
        <is>
          <t>Kolaylaştırıcı Faaliyet</t>
        </is>
      </c>
      <c r="I35" s="13" t="inlineStr">
        <is>
          <t>Evet</t>
        </is>
      </c>
      <c r="J35" s="13" t="inlineStr">
        <is>
          <t>Hayır</t>
        </is>
      </c>
      <c r="K35" s="13" t="inlineStr">
        <is>
          <t>Evet</t>
        </is>
      </c>
      <c r="L35" s="13" t="inlineStr">
        <is>
          <t>Evet</t>
        </is>
      </c>
      <c r="M35" s="13" t="inlineStr"/>
      <c r="N35" s="13" t="inlineStr"/>
      <c r="O35" s="13" t="inlineStr"/>
      <c r="P35" s="13" t="inlineStr"/>
      <c r="Q35" s="13" t="inlineStr">
        <is>
          <t>Yayımlanmamış / Doğrulanmalı</t>
        </is>
      </c>
      <c r="R35" s="13" t="inlineStr">
        <is>
          <t>Faaliyet hacmi; enerji, yakıt, su, atık ve sera gazı verileri; hasılat, CAPEX ve OPEX; teknik performans göstergeleri.</t>
        </is>
      </c>
      <c r="S35" s="13" t="inlineStr">
        <is>
          <t>İzin ve ruhsatlar; sayaç/fatura kayıtları; emisyon ve atık beyanları; proje/teknik raporlar; doğrulama ve sosyal koruma belgeleri.</t>
        </is>
      </c>
      <c r="T35" s="13" t="inlineStr">
        <is>
          <t>NACE kodu eşleştirmeyi destekler; tek başına taksonomi uyumluluğunu kanıtlamaz.</t>
        </is>
      </c>
      <c r="U35" s="14" t="inlineStr">
        <is>
          <t>Türkiye Yeşil Taksonomisi Yönetmeliği, EK-1</t>
        </is>
      </c>
    </row>
    <row r="36">
      <c r="A36" s="13" t="n">
        <v>34</v>
      </c>
      <c r="B36" s="13" t="n">
        <v>4</v>
      </c>
      <c r="C36" s="13" t="inlineStr">
        <is>
          <t>Enerji Faaliyetleri</t>
        </is>
      </c>
      <c r="D36" s="13" t="inlineStr">
        <is>
          <t>A-4.12; B-4.12</t>
        </is>
      </c>
      <c r="E36" s="13" t="inlineStr">
        <is>
          <t>Hidrojen Depolama</t>
        </is>
      </c>
      <c r="F36" s="13" t="inlineStr">
        <is>
          <t>EK-1 faaliyet başlığıdır. Ayrıntılı kapsam ve eşikler için yayımlanacak resmi teknik tarama kriterleri incelenmelidir.</t>
        </is>
      </c>
      <c r="G36" s="13" t="inlineStr"/>
      <c r="H36" s="13" t="inlineStr">
        <is>
          <t>Kolaylaştırıcı Faaliyet</t>
        </is>
      </c>
      <c r="I36" s="13" t="inlineStr">
        <is>
          <t>Evet</t>
        </is>
      </c>
      <c r="J36" s="13" t="inlineStr">
        <is>
          <t>Hayır</t>
        </is>
      </c>
      <c r="K36" s="13" t="inlineStr">
        <is>
          <t>Evet</t>
        </is>
      </c>
      <c r="L36" s="13" t="inlineStr">
        <is>
          <t>Evet</t>
        </is>
      </c>
      <c r="M36" s="13" t="inlineStr"/>
      <c r="N36" s="13" t="inlineStr"/>
      <c r="O36" s="13" t="inlineStr"/>
      <c r="P36" s="13" t="inlineStr"/>
      <c r="Q36" s="13" t="inlineStr">
        <is>
          <t>Yayımlanmamış / Doğrulanmalı</t>
        </is>
      </c>
      <c r="R36" s="13" t="inlineStr">
        <is>
          <t>Faaliyet hacmi; enerji, yakıt, su, atık ve sera gazı verileri; hasılat, CAPEX ve OPEX; teknik performans göstergeleri.</t>
        </is>
      </c>
      <c r="S36" s="13" t="inlineStr">
        <is>
          <t>İzin ve ruhsatlar; sayaç/fatura kayıtları; emisyon ve atık beyanları; proje/teknik raporlar; doğrulama ve sosyal koruma belgeleri.</t>
        </is>
      </c>
      <c r="T36" s="13" t="inlineStr">
        <is>
          <t>NACE kodu eşleştirmeyi destekler; tek başına taksonomi uyumluluğunu kanıtlamaz.</t>
        </is>
      </c>
      <c r="U36" s="14" t="inlineStr">
        <is>
          <t>Türkiye Yeşil Taksonomisi Yönetmeliği, EK-1</t>
        </is>
      </c>
    </row>
    <row r="37">
      <c r="A37" s="13" t="n">
        <v>35</v>
      </c>
      <c r="B37" s="13" t="n">
        <v>4</v>
      </c>
      <c r="C37" s="13" t="inlineStr">
        <is>
          <t>Enerji Faaliyetleri</t>
        </is>
      </c>
      <c r="D37" s="13" t="inlineStr">
        <is>
          <t>A-4.13; B-4.13</t>
        </is>
      </c>
      <c r="E37" s="13" t="inlineStr">
        <is>
          <t>Taşımacılıkta Kullanılmak Üzere Biyogaz ve Biyoyakıt İmalatı ve Biyosıvı İmalatı</t>
        </is>
      </c>
      <c r="F37" s="13" t="inlineStr">
        <is>
          <t>EK-1 faaliyet başlığıdır. Ayrıntılı kapsam ve eşikler için yayımlanacak resmi teknik tarama kriterleri incelenmelidir.</t>
        </is>
      </c>
      <c r="G37" s="13" t="inlineStr"/>
      <c r="H37" s="13" t="inlineStr">
        <is>
          <t>Diğer / Genel Faaliyet</t>
        </is>
      </c>
      <c r="I37" s="13" t="inlineStr">
        <is>
          <t>Hayır</t>
        </is>
      </c>
      <c r="J37" s="13" t="inlineStr">
        <is>
          <t>Hayır</t>
        </is>
      </c>
      <c r="K37" s="13" t="inlineStr">
        <is>
          <t>Evet</t>
        </is>
      </c>
      <c r="L37" s="13" t="inlineStr">
        <is>
          <t>Evet</t>
        </is>
      </c>
      <c r="M37" s="13" t="inlineStr"/>
      <c r="N37" s="13" t="inlineStr"/>
      <c r="O37" s="13" t="inlineStr"/>
      <c r="P37" s="13" t="inlineStr"/>
      <c r="Q37" s="13" t="inlineStr">
        <is>
          <t>Yayımlanmamış / Doğrulanmalı</t>
        </is>
      </c>
      <c r="R37" s="13" t="inlineStr">
        <is>
          <t>Faaliyet hacmi; enerji, yakıt, su, atık ve sera gazı verileri; hasılat, CAPEX ve OPEX; teknik performans göstergeleri.</t>
        </is>
      </c>
      <c r="S37" s="13" t="inlineStr">
        <is>
          <t>İzin ve ruhsatlar; sayaç/fatura kayıtları; emisyon ve atık beyanları; proje/teknik raporlar; doğrulama ve sosyal koruma belgeleri.</t>
        </is>
      </c>
      <c r="T37" s="13" t="inlineStr">
        <is>
          <t>NACE kodu eşleştirmeyi destekler; tek başına taksonomi uyumluluğunu kanıtlamaz.</t>
        </is>
      </c>
      <c r="U37" s="14" t="inlineStr">
        <is>
          <t>Türkiye Yeşil Taksonomisi Yönetmeliği, EK-1</t>
        </is>
      </c>
    </row>
    <row r="38">
      <c r="A38" s="13" t="n">
        <v>36</v>
      </c>
      <c r="B38" s="13" t="n">
        <v>4</v>
      </c>
      <c r="C38" s="13" t="inlineStr">
        <is>
          <t>Enerji Faaliyetleri</t>
        </is>
      </c>
      <c r="D38" s="13" t="inlineStr">
        <is>
          <t>A-4.14; B-4.14</t>
        </is>
      </c>
      <c r="E38" s="13" t="inlineStr">
        <is>
          <t>Yenilenebilir ve Düşük Karbonlu Gazlar İçin İletim ve Dağıtım Ağları</t>
        </is>
      </c>
      <c r="F38" s="13" t="inlineStr">
        <is>
          <t>EK-1 faaliyet başlığıdır. Ayrıntılı kapsam ve eşikler için yayımlanacak resmi teknik tarama kriterleri incelenmelidir.</t>
        </is>
      </c>
      <c r="G38" s="13" t="inlineStr"/>
      <c r="H38" s="13" t="inlineStr">
        <is>
          <t>Diğer / Genel Faaliyet</t>
        </is>
      </c>
      <c r="I38" s="13" t="inlineStr">
        <is>
          <t>Hayır</t>
        </is>
      </c>
      <c r="J38" s="13" t="inlineStr">
        <is>
          <t>Hayır</t>
        </is>
      </c>
      <c r="K38" s="13" t="inlineStr">
        <is>
          <t>Evet</t>
        </is>
      </c>
      <c r="L38" s="13" t="inlineStr">
        <is>
          <t>Evet</t>
        </is>
      </c>
      <c r="M38" s="13" t="inlineStr"/>
      <c r="N38" s="13" t="inlineStr"/>
      <c r="O38" s="13" t="inlineStr"/>
      <c r="P38" s="13" t="inlineStr"/>
      <c r="Q38" s="13" t="inlineStr">
        <is>
          <t>Yayımlanmamış / Doğrulanmalı</t>
        </is>
      </c>
      <c r="R38" s="13" t="inlineStr">
        <is>
          <t>Faaliyet hacmi; enerji, yakıt, su, atık ve sera gazı verileri; hasılat, CAPEX ve OPEX; teknik performans göstergeleri.</t>
        </is>
      </c>
      <c r="S38" s="13" t="inlineStr">
        <is>
          <t>İzin ve ruhsatlar; sayaç/fatura kayıtları; emisyon ve atık beyanları; proje/teknik raporlar; doğrulama ve sosyal koruma belgeleri.</t>
        </is>
      </c>
      <c r="T38" s="13" t="inlineStr">
        <is>
          <t>NACE kodu eşleştirmeyi destekler; tek başına taksonomi uyumluluğunu kanıtlamaz.</t>
        </is>
      </c>
      <c r="U38" s="14" t="inlineStr">
        <is>
          <t>Türkiye Yeşil Taksonomisi Yönetmeliği, EK-1</t>
        </is>
      </c>
    </row>
    <row r="39">
      <c r="A39" s="13" t="n">
        <v>37</v>
      </c>
      <c r="B39" s="13" t="n">
        <v>4</v>
      </c>
      <c r="C39" s="13" t="inlineStr">
        <is>
          <t>Enerji Faaliyetleri</t>
        </is>
      </c>
      <c r="D39" s="13" t="inlineStr">
        <is>
          <t>A-4.15; B-4.15</t>
        </is>
      </c>
      <c r="E39" s="13" t="inlineStr">
        <is>
          <t>Bölgesel Isıtma/Soğutma Dağıtımı</t>
        </is>
      </c>
      <c r="F39" s="13" t="inlineStr">
        <is>
          <t>EK-1 faaliyet başlığıdır. Ayrıntılı kapsam ve eşikler için yayımlanacak resmi teknik tarama kriterleri incelenmelidir.</t>
        </is>
      </c>
      <c r="G39" s="13" t="inlineStr"/>
      <c r="H39" s="13" t="inlineStr">
        <is>
          <t>Diğer / Genel Faaliyet</t>
        </is>
      </c>
      <c r="I39" s="13" t="inlineStr">
        <is>
          <t>Hayır</t>
        </is>
      </c>
      <c r="J39" s="13" t="inlineStr">
        <is>
          <t>Hayır</t>
        </is>
      </c>
      <c r="K39" s="13" t="inlineStr">
        <is>
          <t>Evet</t>
        </is>
      </c>
      <c r="L39" s="13" t="inlineStr">
        <is>
          <t>Evet</t>
        </is>
      </c>
      <c r="M39" s="13" t="inlineStr"/>
      <c r="N39" s="13" t="inlineStr"/>
      <c r="O39" s="13" t="inlineStr"/>
      <c r="P39" s="13" t="inlineStr"/>
      <c r="Q39" s="13" t="inlineStr">
        <is>
          <t>Yayımlanmamış / Doğrulanmalı</t>
        </is>
      </c>
      <c r="R39" s="13" t="inlineStr">
        <is>
          <t>Faaliyet hacmi; enerji, yakıt, su, atık ve sera gazı verileri; hasılat, CAPEX ve OPEX; teknik performans göstergeleri.</t>
        </is>
      </c>
      <c r="S39" s="13" t="inlineStr">
        <is>
          <t>İzin ve ruhsatlar; sayaç/fatura kayıtları; emisyon ve atık beyanları; proje/teknik raporlar; doğrulama ve sosyal koruma belgeleri.</t>
        </is>
      </c>
      <c r="T39" s="13" t="inlineStr">
        <is>
          <t>NACE kodu eşleştirmeyi destekler; tek başına taksonomi uyumluluğunu kanıtlamaz.</t>
        </is>
      </c>
      <c r="U39" s="14" t="inlineStr">
        <is>
          <t>Türkiye Yeşil Taksonomisi Yönetmeliği, EK-1</t>
        </is>
      </c>
    </row>
    <row r="40">
      <c r="A40" s="13" t="n">
        <v>38</v>
      </c>
      <c r="B40" s="13" t="n">
        <v>4</v>
      </c>
      <c r="C40" s="13" t="inlineStr">
        <is>
          <t>Enerji Faaliyetleri</t>
        </is>
      </c>
      <c r="D40" s="13" t="inlineStr">
        <is>
          <t>A-4.16; B-4.16</t>
        </is>
      </c>
      <c r="E40" s="13" t="inlineStr">
        <is>
          <t>Elektrikli Isı Pompalarının Kurulumu ve İşletimi</t>
        </is>
      </c>
      <c r="F40" s="13" t="inlineStr">
        <is>
          <t>EK-1 faaliyet başlığıdır. Ayrıntılı kapsam ve eşikler için yayımlanacak resmi teknik tarama kriterleri incelenmelidir.</t>
        </is>
      </c>
      <c r="G40" s="13" t="inlineStr"/>
      <c r="H40" s="13" t="inlineStr">
        <is>
          <t>Diğer / Genel Faaliyet</t>
        </is>
      </c>
      <c r="I40" s="13" t="inlineStr">
        <is>
          <t>Hayır</t>
        </is>
      </c>
      <c r="J40" s="13" t="inlineStr">
        <is>
          <t>Hayır</t>
        </is>
      </c>
      <c r="K40" s="13" t="inlineStr">
        <is>
          <t>Evet</t>
        </is>
      </c>
      <c r="L40" s="13" t="inlineStr">
        <is>
          <t>Evet</t>
        </is>
      </c>
      <c r="M40" s="13" t="inlineStr"/>
      <c r="N40" s="13" t="inlineStr"/>
      <c r="O40" s="13" t="inlineStr"/>
      <c r="P40" s="13" t="inlineStr"/>
      <c r="Q40" s="13" t="inlineStr">
        <is>
          <t>Yayımlanmamış / Doğrulanmalı</t>
        </is>
      </c>
      <c r="R40" s="13" t="inlineStr">
        <is>
          <t>Faaliyet hacmi; enerji, yakıt, su, atık ve sera gazı verileri; hasılat, CAPEX ve OPEX; teknik performans göstergeleri.</t>
        </is>
      </c>
      <c r="S40" s="13" t="inlineStr">
        <is>
          <t>İzin ve ruhsatlar; sayaç/fatura kayıtları; emisyon ve atık beyanları; proje/teknik raporlar; doğrulama ve sosyal koruma belgeleri.</t>
        </is>
      </c>
      <c r="T40" s="13" t="inlineStr">
        <is>
          <t>NACE kodu eşleştirmeyi destekler; tek başına taksonomi uyumluluğunu kanıtlamaz.</t>
        </is>
      </c>
      <c r="U40" s="14" t="inlineStr">
        <is>
          <t>Türkiye Yeşil Taksonomisi Yönetmeliği, EK-1</t>
        </is>
      </c>
    </row>
    <row r="41">
      <c r="A41" s="13" t="n">
        <v>39</v>
      </c>
      <c r="B41" s="13" t="n">
        <v>4</v>
      </c>
      <c r="C41" s="13" t="inlineStr">
        <is>
          <t>Enerji Faaliyetleri</t>
        </is>
      </c>
      <c r="D41" s="13" t="inlineStr">
        <is>
          <t>A-4.17; B-4.17</t>
        </is>
      </c>
      <c r="E41" s="13" t="inlineStr">
        <is>
          <t>Güneş Enerjisinden Isı/Soğutma ve Güç Kojenerasyonu</t>
        </is>
      </c>
      <c r="F41" s="13" t="inlineStr">
        <is>
          <t>EK-1 faaliyet başlığıdır. Ayrıntılı kapsam ve eşikler için yayımlanacak resmi teknik tarama kriterleri incelenmelidir.</t>
        </is>
      </c>
      <c r="G41" s="13" t="inlineStr"/>
      <c r="H41" s="13" t="inlineStr">
        <is>
          <t>Diğer / Genel Faaliyet</t>
        </is>
      </c>
      <c r="I41" s="13" t="inlineStr">
        <is>
          <t>Hayır</t>
        </is>
      </c>
      <c r="J41" s="13" t="inlineStr">
        <is>
          <t>Hayır</t>
        </is>
      </c>
      <c r="K41" s="13" t="inlineStr">
        <is>
          <t>Evet</t>
        </is>
      </c>
      <c r="L41" s="13" t="inlineStr">
        <is>
          <t>Evet</t>
        </is>
      </c>
      <c r="M41" s="13" t="inlineStr"/>
      <c r="N41" s="13" t="inlineStr"/>
      <c r="O41" s="13" t="inlineStr"/>
      <c r="P41" s="13" t="inlineStr"/>
      <c r="Q41" s="13" t="inlineStr">
        <is>
          <t>Yayımlanmamış / Doğrulanmalı</t>
        </is>
      </c>
      <c r="R41" s="13" t="inlineStr">
        <is>
          <t>Faaliyet hacmi; enerji, yakıt, su, atık ve sera gazı verileri; hasılat, CAPEX ve OPEX; teknik performans göstergeleri.</t>
        </is>
      </c>
      <c r="S41" s="13" t="inlineStr">
        <is>
          <t>İzin ve ruhsatlar; sayaç/fatura kayıtları; emisyon ve atık beyanları; proje/teknik raporlar; doğrulama ve sosyal koruma belgeleri.</t>
        </is>
      </c>
      <c r="T41" s="13" t="inlineStr">
        <is>
          <t>NACE kodu eşleştirmeyi destekler; tek başına taksonomi uyumluluğunu kanıtlamaz.</t>
        </is>
      </c>
      <c r="U41" s="14" t="inlineStr">
        <is>
          <t>Türkiye Yeşil Taksonomisi Yönetmeliği, EK-1</t>
        </is>
      </c>
    </row>
    <row r="42">
      <c r="A42" s="13" t="n">
        <v>40</v>
      </c>
      <c r="B42" s="13" t="n">
        <v>4</v>
      </c>
      <c r="C42" s="13" t="inlineStr">
        <is>
          <t>Enerji Faaliyetleri</t>
        </is>
      </c>
      <c r="D42" s="13" t="inlineStr">
        <is>
          <t>A-4.18; B-4.18</t>
        </is>
      </c>
      <c r="E42" s="13" t="inlineStr">
        <is>
          <t>Jeotermal Enerjiden Isı/Soğutma ve Güç Kojenerasyonu</t>
        </is>
      </c>
      <c r="F42" s="13" t="inlineStr">
        <is>
          <t>EK-1 faaliyet başlığıdır. Ayrıntılı kapsam ve eşikler için yayımlanacak resmi teknik tarama kriterleri incelenmelidir.</t>
        </is>
      </c>
      <c r="G42" s="13" t="inlineStr"/>
      <c r="H42" s="13" t="inlineStr">
        <is>
          <t>Diğer / Genel Faaliyet</t>
        </is>
      </c>
      <c r="I42" s="13" t="inlineStr">
        <is>
          <t>Hayır</t>
        </is>
      </c>
      <c r="J42" s="13" t="inlineStr">
        <is>
          <t>Hayır</t>
        </is>
      </c>
      <c r="K42" s="13" t="inlineStr">
        <is>
          <t>Evet</t>
        </is>
      </c>
      <c r="L42" s="13" t="inlineStr">
        <is>
          <t>Evet</t>
        </is>
      </c>
      <c r="M42" s="13" t="inlineStr"/>
      <c r="N42" s="13" t="inlineStr"/>
      <c r="O42" s="13" t="inlineStr"/>
      <c r="P42" s="13" t="inlineStr"/>
      <c r="Q42" s="13" t="inlineStr">
        <is>
          <t>Yayımlanmamış / Doğrulanmalı</t>
        </is>
      </c>
      <c r="R42" s="13" t="inlineStr">
        <is>
          <t>Faaliyet hacmi; enerji, yakıt, su, atık ve sera gazı verileri; hasılat, CAPEX ve OPEX; teknik performans göstergeleri.</t>
        </is>
      </c>
      <c r="S42" s="13" t="inlineStr">
        <is>
          <t>İzin ve ruhsatlar; sayaç/fatura kayıtları; emisyon ve atık beyanları; proje/teknik raporlar; doğrulama ve sosyal koruma belgeleri.</t>
        </is>
      </c>
      <c r="T42" s="13" t="inlineStr">
        <is>
          <t>NACE kodu eşleştirmeyi destekler; tek başına taksonomi uyumluluğunu kanıtlamaz.</t>
        </is>
      </c>
      <c r="U42" s="14" t="inlineStr">
        <is>
          <t>Türkiye Yeşil Taksonomisi Yönetmeliği, EK-1</t>
        </is>
      </c>
    </row>
    <row r="43">
      <c r="A43" s="13" t="n">
        <v>41</v>
      </c>
      <c r="B43" s="13" t="n">
        <v>4</v>
      </c>
      <c r="C43" s="13" t="inlineStr">
        <is>
          <t>Enerji Faaliyetleri</t>
        </is>
      </c>
      <c r="D43" s="13" t="inlineStr">
        <is>
          <t>A-4.19; B-4.19</t>
        </is>
      </c>
      <c r="E43" s="13" t="inlineStr">
        <is>
          <t>Fosil Olmayan Yenilenebilir Gaz ve Sıvı Yakıtlardan Isı/Soğutma ve Güç Kojenerasyonu</t>
        </is>
      </c>
      <c r="F43" s="13" t="inlineStr">
        <is>
          <t>EK-1 faaliyet başlığıdır. Ayrıntılı kapsam ve eşikler için yayımlanacak resmi teknik tarama kriterleri incelenmelidir.</t>
        </is>
      </c>
      <c r="G43" s="13" t="inlineStr"/>
      <c r="H43" s="13" t="inlineStr">
        <is>
          <t>Diğer / Genel Faaliyet</t>
        </is>
      </c>
      <c r="I43" s="13" t="inlineStr">
        <is>
          <t>Hayır</t>
        </is>
      </c>
      <c r="J43" s="13" t="inlineStr">
        <is>
          <t>Hayır</t>
        </is>
      </c>
      <c r="K43" s="13" t="inlineStr">
        <is>
          <t>Evet</t>
        </is>
      </c>
      <c r="L43" s="13" t="inlineStr">
        <is>
          <t>Evet</t>
        </is>
      </c>
      <c r="M43" s="13" t="inlineStr"/>
      <c r="N43" s="13" t="inlineStr"/>
      <c r="O43" s="13" t="inlineStr"/>
      <c r="P43" s="13" t="inlineStr"/>
      <c r="Q43" s="13" t="inlineStr">
        <is>
          <t>Yayımlanmamış / Doğrulanmalı</t>
        </is>
      </c>
      <c r="R43" s="13" t="inlineStr">
        <is>
          <t>Faaliyet hacmi; enerji, yakıt, su, atık ve sera gazı verileri; hasılat, CAPEX ve OPEX; teknik performans göstergeleri.</t>
        </is>
      </c>
      <c r="S43" s="13" t="inlineStr">
        <is>
          <t>İzin ve ruhsatlar; sayaç/fatura kayıtları; emisyon ve atık beyanları; proje/teknik raporlar; doğrulama ve sosyal koruma belgeleri.</t>
        </is>
      </c>
      <c r="T43" s="13" t="inlineStr">
        <is>
          <t>NACE kodu eşleştirmeyi destekler; tek başına taksonomi uyumluluğunu kanıtlamaz.</t>
        </is>
      </c>
      <c r="U43" s="14" t="inlineStr">
        <is>
          <t>Türkiye Yeşil Taksonomisi Yönetmeliği, EK-1</t>
        </is>
      </c>
    </row>
    <row r="44">
      <c r="A44" s="13" t="n">
        <v>42</v>
      </c>
      <c r="B44" s="13" t="n">
        <v>4</v>
      </c>
      <c r="C44" s="13" t="inlineStr">
        <is>
          <t>Enerji Faaliyetleri</t>
        </is>
      </c>
      <c r="D44" s="13" t="inlineStr">
        <is>
          <t>A-4.20; B-4.20</t>
        </is>
      </c>
      <c r="E44" s="13" t="inlineStr">
        <is>
          <t>Biyoenerjiden Isı/Soğutma ve Güç Kojenerasyonu</t>
        </is>
      </c>
      <c r="F44" s="13" t="inlineStr">
        <is>
          <t>EK-1 faaliyet başlığıdır. Ayrıntılı kapsam ve eşikler için yayımlanacak resmi teknik tarama kriterleri incelenmelidir.</t>
        </is>
      </c>
      <c r="G44" s="13" t="inlineStr"/>
      <c r="H44" s="13" t="inlineStr">
        <is>
          <t>Diğer / Genel Faaliyet</t>
        </is>
      </c>
      <c r="I44" s="13" t="inlineStr">
        <is>
          <t>Hayır</t>
        </is>
      </c>
      <c r="J44" s="13" t="inlineStr">
        <is>
          <t>Hayır</t>
        </is>
      </c>
      <c r="K44" s="13" t="inlineStr">
        <is>
          <t>Evet</t>
        </is>
      </c>
      <c r="L44" s="13" t="inlineStr">
        <is>
          <t>Evet</t>
        </is>
      </c>
      <c r="M44" s="13" t="inlineStr"/>
      <c r="N44" s="13" t="inlineStr"/>
      <c r="O44" s="13" t="inlineStr"/>
      <c r="P44" s="13" t="inlineStr"/>
      <c r="Q44" s="13" t="inlineStr">
        <is>
          <t>Yayımlanmamış / Doğrulanmalı</t>
        </is>
      </c>
      <c r="R44" s="13" t="inlineStr">
        <is>
          <t>Faaliyet hacmi; enerji, yakıt, su, atık ve sera gazı verileri; hasılat, CAPEX ve OPEX; teknik performans göstergeleri.</t>
        </is>
      </c>
      <c r="S44" s="13" t="inlineStr">
        <is>
          <t>İzin ve ruhsatlar; sayaç/fatura kayıtları; emisyon ve atık beyanları; proje/teknik raporlar; doğrulama ve sosyal koruma belgeleri.</t>
        </is>
      </c>
      <c r="T44" s="13" t="inlineStr">
        <is>
          <t>NACE kodu eşleştirmeyi destekler; tek başına taksonomi uyumluluğunu kanıtlamaz.</t>
        </is>
      </c>
      <c r="U44" s="14" t="inlineStr">
        <is>
          <t>Türkiye Yeşil Taksonomisi Yönetmeliği, EK-1</t>
        </is>
      </c>
    </row>
    <row r="45">
      <c r="A45" s="13" t="n">
        <v>43</v>
      </c>
      <c r="B45" s="13" t="n">
        <v>4</v>
      </c>
      <c r="C45" s="13" t="inlineStr">
        <is>
          <t>Enerji Faaliyetleri</t>
        </is>
      </c>
      <c r="D45" s="13" t="inlineStr">
        <is>
          <t>A-4.21; B-4.21</t>
        </is>
      </c>
      <c r="E45" s="13" t="inlineStr">
        <is>
          <t>Güneş Enerjisiyle Termal Isıtmadan Isı/Soğutma Üretimi</t>
        </is>
      </c>
      <c r="F45" s="13" t="inlineStr">
        <is>
          <t>EK-1 faaliyet başlığıdır. Ayrıntılı kapsam ve eşikler için yayımlanacak resmi teknik tarama kriterleri incelenmelidir.</t>
        </is>
      </c>
      <c r="G45" s="13" t="inlineStr"/>
      <c r="H45" s="13" t="inlineStr">
        <is>
          <t>Diğer / Genel Faaliyet</t>
        </is>
      </c>
      <c r="I45" s="13" t="inlineStr">
        <is>
          <t>Hayır</t>
        </is>
      </c>
      <c r="J45" s="13" t="inlineStr">
        <is>
          <t>Hayır</t>
        </is>
      </c>
      <c r="K45" s="13" t="inlineStr">
        <is>
          <t>Evet</t>
        </is>
      </c>
      <c r="L45" s="13" t="inlineStr">
        <is>
          <t>Evet</t>
        </is>
      </c>
      <c r="M45" s="13" t="inlineStr"/>
      <c r="N45" s="13" t="inlineStr"/>
      <c r="O45" s="13" t="inlineStr"/>
      <c r="P45" s="13" t="inlineStr"/>
      <c r="Q45" s="13" t="inlineStr">
        <is>
          <t>Yayımlanmamış / Doğrulanmalı</t>
        </is>
      </c>
      <c r="R45" s="13" t="inlineStr">
        <is>
          <t>Faaliyet hacmi; enerji, yakıt, su, atık ve sera gazı verileri; hasılat, CAPEX ve OPEX; teknik performans göstergeleri.</t>
        </is>
      </c>
      <c r="S45" s="13" t="inlineStr">
        <is>
          <t>İzin ve ruhsatlar; sayaç/fatura kayıtları; emisyon ve atık beyanları; proje/teknik raporlar; doğrulama ve sosyal koruma belgeleri.</t>
        </is>
      </c>
      <c r="T45" s="13" t="inlineStr">
        <is>
          <t>NACE kodu eşleştirmeyi destekler; tek başına taksonomi uyumluluğunu kanıtlamaz.</t>
        </is>
      </c>
      <c r="U45" s="14" t="inlineStr">
        <is>
          <t>Türkiye Yeşil Taksonomisi Yönetmeliği, EK-1</t>
        </is>
      </c>
    </row>
    <row r="46">
      <c r="A46" s="13" t="n">
        <v>44</v>
      </c>
      <c r="B46" s="13" t="n">
        <v>4</v>
      </c>
      <c r="C46" s="13" t="inlineStr">
        <is>
          <t>Enerji Faaliyetleri</t>
        </is>
      </c>
      <c r="D46" s="13" t="inlineStr">
        <is>
          <t>A-4.22; B-4.22</t>
        </is>
      </c>
      <c r="E46" s="13" t="inlineStr">
        <is>
          <t>Jeotermal Enerjiden Isı/Soğutma Üretimi</t>
        </is>
      </c>
      <c r="F46" s="13" t="inlineStr">
        <is>
          <t>EK-1 faaliyet başlığıdır. Ayrıntılı kapsam ve eşikler için yayımlanacak resmi teknik tarama kriterleri incelenmelidir.</t>
        </is>
      </c>
      <c r="G46" s="13" t="inlineStr"/>
      <c r="H46" s="13" t="inlineStr">
        <is>
          <t>Diğer / Genel Faaliyet</t>
        </is>
      </c>
      <c r="I46" s="13" t="inlineStr">
        <is>
          <t>Hayır</t>
        </is>
      </c>
      <c r="J46" s="13" t="inlineStr">
        <is>
          <t>Hayır</t>
        </is>
      </c>
      <c r="K46" s="13" t="inlineStr">
        <is>
          <t>Evet</t>
        </is>
      </c>
      <c r="L46" s="13" t="inlineStr">
        <is>
          <t>Evet</t>
        </is>
      </c>
      <c r="M46" s="13" t="inlineStr"/>
      <c r="N46" s="13" t="inlineStr"/>
      <c r="O46" s="13" t="inlineStr"/>
      <c r="P46" s="13" t="inlineStr"/>
      <c r="Q46" s="13" t="inlineStr">
        <is>
          <t>Yayımlanmamış / Doğrulanmalı</t>
        </is>
      </c>
      <c r="R46" s="13" t="inlineStr">
        <is>
          <t>Faaliyet hacmi; enerji, yakıt, su, atık ve sera gazı verileri; hasılat, CAPEX ve OPEX; teknik performans göstergeleri.</t>
        </is>
      </c>
      <c r="S46" s="13" t="inlineStr">
        <is>
          <t>İzin ve ruhsatlar; sayaç/fatura kayıtları; emisyon ve atık beyanları; proje/teknik raporlar; doğrulama ve sosyal koruma belgeleri.</t>
        </is>
      </c>
      <c r="T46" s="13" t="inlineStr">
        <is>
          <t>NACE kodu eşleştirmeyi destekler; tek başına taksonomi uyumluluğunu kanıtlamaz.</t>
        </is>
      </c>
      <c r="U46" s="14" t="inlineStr">
        <is>
          <t>Türkiye Yeşil Taksonomisi Yönetmeliği, EK-1</t>
        </is>
      </c>
    </row>
    <row r="47">
      <c r="A47" s="13" t="n">
        <v>45</v>
      </c>
      <c r="B47" s="13" t="n">
        <v>4</v>
      </c>
      <c r="C47" s="13" t="inlineStr">
        <is>
          <t>Enerji Faaliyetleri</t>
        </is>
      </c>
      <c r="D47" s="13" t="inlineStr">
        <is>
          <t>A-4.23; B-4.23</t>
        </is>
      </c>
      <c r="E47" s="13" t="inlineStr">
        <is>
          <t>Fosil Olmayan Yenilenebilir Gaz ve Sıvı Yakıtlardan Isı/Soğutma Üretimi</t>
        </is>
      </c>
      <c r="F47" s="13" t="inlineStr">
        <is>
          <t>EK-1 faaliyet başlığıdır. Ayrıntılı kapsam ve eşikler için yayımlanacak resmi teknik tarama kriterleri incelenmelidir.</t>
        </is>
      </c>
      <c r="G47" s="13" t="inlineStr"/>
      <c r="H47" s="13" t="inlineStr">
        <is>
          <t>Diğer / Genel Faaliyet</t>
        </is>
      </c>
      <c r="I47" s="13" t="inlineStr">
        <is>
          <t>Hayır</t>
        </is>
      </c>
      <c r="J47" s="13" t="inlineStr">
        <is>
          <t>Hayır</t>
        </is>
      </c>
      <c r="K47" s="13" t="inlineStr">
        <is>
          <t>Evet</t>
        </is>
      </c>
      <c r="L47" s="13" t="inlineStr">
        <is>
          <t>Evet</t>
        </is>
      </c>
      <c r="M47" s="13" t="inlineStr"/>
      <c r="N47" s="13" t="inlineStr"/>
      <c r="O47" s="13" t="inlineStr"/>
      <c r="P47" s="13" t="inlineStr"/>
      <c r="Q47" s="13" t="inlineStr">
        <is>
          <t>Yayımlanmamış / Doğrulanmalı</t>
        </is>
      </c>
      <c r="R47" s="13" t="inlineStr">
        <is>
          <t>Faaliyet hacmi; enerji, yakıt, su, atık ve sera gazı verileri; hasılat, CAPEX ve OPEX; teknik performans göstergeleri.</t>
        </is>
      </c>
      <c r="S47" s="13" t="inlineStr">
        <is>
          <t>İzin ve ruhsatlar; sayaç/fatura kayıtları; emisyon ve atık beyanları; proje/teknik raporlar; doğrulama ve sosyal koruma belgeleri.</t>
        </is>
      </c>
      <c r="T47" s="13" t="inlineStr">
        <is>
          <t>NACE kodu eşleştirmeyi destekler; tek başına taksonomi uyumluluğunu kanıtlamaz.</t>
        </is>
      </c>
      <c r="U47" s="14" t="inlineStr">
        <is>
          <t>Türkiye Yeşil Taksonomisi Yönetmeliği, EK-1</t>
        </is>
      </c>
    </row>
    <row r="48">
      <c r="A48" s="13" t="n">
        <v>46</v>
      </c>
      <c r="B48" s="13" t="n">
        <v>4</v>
      </c>
      <c r="C48" s="13" t="inlineStr">
        <is>
          <t>Enerji Faaliyetleri</t>
        </is>
      </c>
      <c r="D48" s="13" t="inlineStr">
        <is>
          <t>A-4.24; B-4.24</t>
        </is>
      </c>
      <c r="E48" s="13" t="inlineStr">
        <is>
          <t>Biyoenerjiden Isı/Soğutma Üretimi</t>
        </is>
      </c>
      <c r="F48" s="13" t="inlineStr">
        <is>
          <t>EK-1 faaliyet başlığıdır. Ayrıntılı kapsam ve eşikler için yayımlanacak resmi teknik tarama kriterleri incelenmelidir.</t>
        </is>
      </c>
      <c r="G48" s="13" t="inlineStr"/>
      <c r="H48" s="13" t="inlineStr">
        <is>
          <t>Diğer / Genel Faaliyet</t>
        </is>
      </c>
      <c r="I48" s="13" t="inlineStr">
        <is>
          <t>Hayır</t>
        </is>
      </c>
      <c r="J48" s="13" t="inlineStr">
        <is>
          <t>Hayır</t>
        </is>
      </c>
      <c r="K48" s="13" t="inlineStr">
        <is>
          <t>Evet</t>
        </is>
      </c>
      <c r="L48" s="13" t="inlineStr">
        <is>
          <t>Evet</t>
        </is>
      </c>
      <c r="M48" s="13" t="inlineStr"/>
      <c r="N48" s="13" t="inlineStr"/>
      <c r="O48" s="13" t="inlineStr"/>
      <c r="P48" s="13" t="inlineStr"/>
      <c r="Q48" s="13" t="inlineStr">
        <is>
          <t>Yayımlanmamış / Doğrulanmalı</t>
        </is>
      </c>
      <c r="R48" s="13" t="inlineStr">
        <is>
          <t>Faaliyet hacmi; enerji, yakıt, su, atık ve sera gazı verileri; hasılat, CAPEX ve OPEX; teknik performans göstergeleri.</t>
        </is>
      </c>
      <c r="S48" s="13" t="inlineStr">
        <is>
          <t>İzin ve ruhsatlar; sayaç/fatura kayıtları; emisyon ve atık beyanları; proje/teknik raporlar; doğrulama ve sosyal koruma belgeleri.</t>
        </is>
      </c>
      <c r="T48" s="13" t="inlineStr">
        <is>
          <t>NACE kodu eşleştirmeyi destekler; tek başına taksonomi uyumluluğunu kanıtlamaz.</t>
        </is>
      </c>
      <c r="U48" s="14" t="inlineStr">
        <is>
          <t>Türkiye Yeşil Taksonomisi Yönetmeliği, EK-1</t>
        </is>
      </c>
    </row>
    <row r="49">
      <c r="A49" s="13" t="n">
        <v>47</v>
      </c>
      <c r="B49" s="13" t="n">
        <v>4</v>
      </c>
      <c r="C49" s="13" t="inlineStr">
        <is>
          <t>Enerji Faaliyetleri</t>
        </is>
      </c>
      <c r="D49" s="13" t="inlineStr">
        <is>
          <t>A-4.25; B-4.25</t>
        </is>
      </c>
      <c r="E49" s="13" t="inlineStr">
        <is>
          <t>Atık Isı Kullanarak Isı/Soğutma Üretimi</t>
        </is>
      </c>
      <c r="F49" s="13" t="inlineStr">
        <is>
          <t>EK-1 faaliyet başlığıdır. Ayrıntılı kapsam ve eşikler için yayımlanacak resmi teknik tarama kriterleri incelenmelidir.</t>
        </is>
      </c>
      <c r="G49" s="13" t="inlineStr"/>
      <c r="H49" s="13" t="inlineStr">
        <is>
          <t>Diğer / Genel Faaliyet</t>
        </is>
      </c>
      <c r="I49" s="13" t="inlineStr">
        <is>
          <t>Hayır</t>
        </is>
      </c>
      <c r="J49" s="13" t="inlineStr">
        <is>
          <t>Hayır</t>
        </is>
      </c>
      <c r="K49" s="13" t="inlineStr">
        <is>
          <t>Evet</t>
        </is>
      </c>
      <c r="L49" s="13" t="inlineStr">
        <is>
          <t>Evet</t>
        </is>
      </c>
      <c r="M49" s="13" t="inlineStr"/>
      <c r="N49" s="13" t="inlineStr"/>
      <c r="O49" s="13" t="inlineStr"/>
      <c r="P49" s="13" t="inlineStr"/>
      <c r="Q49" s="13" t="inlineStr">
        <is>
          <t>Yayımlanmamış / Doğrulanmalı</t>
        </is>
      </c>
      <c r="R49" s="13" t="inlineStr">
        <is>
          <t>Faaliyet hacmi; enerji, yakıt, su, atık ve sera gazı verileri; hasılat, CAPEX ve OPEX; teknik performans göstergeleri.</t>
        </is>
      </c>
      <c r="S49" s="13" t="inlineStr">
        <is>
          <t>İzin ve ruhsatlar; sayaç/fatura kayıtları; emisyon ve atık beyanları; proje/teknik raporlar; doğrulama ve sosyal koruma belgeleri.</t>
        </is>
      </c>
      <c r="T49" s="13" t="inlineStr">
        <is>
          <t>NACE kodu eşleştirmeyi destekler; tek başına taksonomi uyumluluğunu kanıtlamaz.</t>
        </is>
      </c>
      <c r="U49" s="14" t="inlineStr">
        <is>
          <t>Türkiye Yeşil Taksonomisi Yönetmeliği, EK-1</t>
        </is>
      </c>
    </row>
    <row r="50">
      <c r="A50" s="13" t="n">
        <v>48</v>
      </c>
      <c r="B50" s="13" t="n">
        <v>4</v>
      </c>
      <c r="C50" s="13" t="inlineStr">
        <is>
          <t>Enerji Faaliyetleri</t>
        </is>
      </c>
      <c r="D50" s="13" t="inlineStr">
        <is>
          <t>A-4.26; B-4.26</t>
        </is>
      </c>
      <c r="E50" s="13" t="inlineStr">
        <is>
          <t>Yakıt Döngüsünden Kaynaklanan Minimum Atıkla Nükleer Süreçlerden Enerji Üretmeye Yönelik İleri Teknolojilerin Ticaret Öncesi Aşamaları</t>
        </is>
      </c>
      <c r="F50" s="13" t="inlineStr">
        <is>
          <t>EK-1 faaliyet başlığıdır. Ayrıntılı kapsam ve eşikler için yayımlanacak resmi teknik tarama kriterleri incelenmelidir.</t>
        </is>
      </c>
      <c r="G50" s="13" t="inlineStr"/>
      <c r="H50" s="13" t="inlineStr">
        <is>
          <t>Geçiş Faaliyeti</t>
        </is>
      </c>
      <c r="I50" s="13" t="inlineStr">
        <is>
          <t>Hayır</t>
        </is>
      </c>
      <c r="J50" s="13" t="inlineStr">
        <is>
          <t>Evet</t>
        </is>
      </c>
      <c r="K50" s="13" t="inlineStr">
        <is>
          <t>Evet</t>
        </is>
      </c>
      <c r="L50" s="13" t="inlineStr">
        <is>
          <t>Evet</t>
        </is>
      </c>
      <c r="M50" s="13" t="inlineStr"/>
      <c r="N50" s="13" t="inlineStr"/>
      <c r="O50" s="13" t="inlineStr"/>
      <c r="P50" s="13" t="inlineStr"/>
      <c r="Q50" s="13" t="inlineStr">
        <is>
          <t>Yayımlanmamış / Doğrulanmalı</t>
        </is>
      </c>
      <c r="R50" s="13" t="inlineStr">
        <is>
          <t>Faaliyet hacmi; enerji, yakıt, su, atık ve sera gazı verileri; hasılat, CAPEX ve OPEX; teknik performans göstergeleri.</t>
        </is>
      </c>
      <c r="S50" s="13" t="inlineStr">
        <is>
          <t>İzin ve ruhsatlar; sayaç/fatura kayıtları; emisyon ve atık beyanları; proje/teknik raporlar; doğrulama ve sosyal koruma belgeleri.</t>
        </is>
      </c>
      <c r="T50" s="13" t="inlineStr">
        <is>
          <t>NACE kodu eşleştirmeyi destekler; tek başına taksonomi uyumluluğunu kanıtlamaz.</t>
        </is>
      </c>
      <c r="U50" s="14" t="inlineStr">
        <is>
          <t>Türkiye Yeşil Taksonomisi Yönetmeliği, EK-1</t>
        </is>
      </c>
    </row>
    <row r="51">
      <c r="A51" s="13" t="n">
        <v>49</v>
      </c>
      <c r="B51" s="13" t="n">
        <v>4</v>
      </c>
      <c r="C51" s="13" t="inlineStr">
        <is>
          <t>Enerji Faaliyetleri</t>
        </is>
      </c>
      <c r="D51" s="13" t="inlineStr">
        <is>
          <t>A-4.27; B-4.27</t>
        </is>
      </c>
      <c r="E51" s="13" t="inlineStr">
        <is>
          <t>Mevcut En İyi Teknolojiler Kullanılarak, Hidrojen İmalatı De Dâhil Olmak Üzere Elektrik Ve/Veya Isı Üretimi İçin Yeni Nükleer Enerji Santrallerinin İnşa Edilmesi Ve Güvenli Bir Şekilde İşletilmesi</t>
        </is>
      </c>
      <c r="F51" s="13" t="inlineStr">
        <is>
          <t>EK-1 faaliyet başlığıdır. Ayrıntılı kapsam ve eşikler için yayımlanacak resmi teknik tarama kriterleri incelenmelidir.</t>
        </is>
      </c>
      <c r="G51" s="13" t="inlineStr"/>
      <c r="H51" s="13" t="inlineStr">
        <is>
          <t>Geçiş Faaliyeti</t>
        </is>
      </c>
      <c r="I51" s="13" t="inlineStr">
        <is>
          <t>Hayır</t>
        </is>
      </c>
      <c r="J51" s="13" t="inlineStr">
        <is>
          <t>Evet</t>
        </is>
      </c>
      <c r="K51" s="13" t="inlineStr">
        <is>
          <t>Evet</t>
        </is>
      </c>
      <c r="L51" s="13" t="inlineStr">
        <is>
          <t>Evet</t>
        </is>
      </c>
      <c r="M51" s="13" t="inlineStr"/>
      <c r="N51" s="13" t="inlineStr"/>
      <c r="O51" s="13" t="inlineStr"/>
      <c r="P51" s="13" t="inlineStr"/>
      <c r="Q51" s="13" t="inlineStr">
        <is>
          <t>Yayımlanmamış / Doğrulanmalı</t>
        </is>
      </c>
      <c r="R51" s="13" t="inlineStr">
        <is>
          <t>Faaliyet hacmi; enerji, yakıt, su, atık ve sera gazı verileri; hasılat, CAPEX ve OPEX; teknik performans göstergeleri.</t>
        </is>
      </c>
      <c r="S51" s="13" t="inlineStr">
        <is>
          <t>İzin ve ruhsatlar; sayaç/fatura kayıtları; emisyon ve atık beyanları; proje/teknik raporlar; doğrulama ve sosyal koruma belgeleri.</t>
        </is>
      </c>
      <c r="T51" s="13" t="inlineStr">
        <is>
          <t>NACE kodu eşleştirmeyi destekler; tek başına taksonomi uyumluluğunu kanıtlamaz.</t>
        </is>
      </c>
      <c r="U51" s="14" t="inlineStr">
        <is>
          <t>Türkiye Yeşil Taksonomisi Yönetmeliği, EK-1</t>
        </is>
      </c>
    </row>
    <row r="52">
      <c r="A52" s="13" t="n">
        <v>50</v>
      </c>
      <c r="B52" s="13" t="n">
        <v>4</v>
      </c>
      <c r="C52" s="13" t="inlineStr">
        <is>
          <t>Enerji Faaliyetleri</t>
        </is>
      </c>
      <c r="D52" s="13" t="inlineStr">
        <is>
          <t>A-4.28; B-4.28</t>
        </is>
      </c>
      <c r="E52" s="13" t="inlineStr">
        <is>
          <t>Mevcut Tesislerde Nükleer Enerjiden Elektrik Üretimi</t>
        </is>
      </c>
      <c r="F52" s="13" t="inlineStr">
        <is>
          <t>EK-1 faaliyet başlığıdır. Ayrıntılı kapsam ve eşikler için yayımlanacak resmi teknik tarama kriterleri incelenmelidir.</t>
        </is>
      </c>
      <c r="G52" s="13" t="inlineStr"/>
      <c r="H52" s="13" t="inlineStr">
        <is>
          <t>Geçiş Faaliyeti</t>
        </is>
      </c>
      <c r="I52" s="13" t="inlineStr">
        <is>
          <t>Hayır</t>
        </is>
      </c>
      <c r="J52" s="13" t="inlineStr">
        <is>
          <t>Evet</t>
        </is>
      </c>
      <c r="K52" s="13" t="inlineStr">
        <is>
          <t>Evet</t>
        </is>
      </c>
      <c r="L52" s="13" t="inlineStr">
        <is>
          <t>Evet</t>
        </is>
      </c>
      <c r="M52" s="13" t="inlineStr"/>
      <c r="N52" s="13" t="inlineStr"/>
      <c r="O52" s="13" t="inlineStr"/>
      <c r="P52" s="13" t="inlineStr"/>
      <c r="Q52" s="13" t="inlineStr">
        <is>
          <t>Yayımlanmamış / Doğrulanmalı</t>
        </is>
      </c>
      <c r="R52" s="13" t="inlineStr">
        <is>
          <t>Faaliyet hacmi; enerji, yakıt, su, atık ve sera gazı verileri; hasılat, CAPEX ve OPEX; teknik performans göstergeleri.</t>
        </is>
      </c>
      <c r="S52" s="13" t="inlineStr">
        <is>
          <t>İzin ve ruhsatlar; sayaç/fatura kayıtları; emisyon ve atık beyanları; proje/teknik raporlar; doğrulama ve sosyal koruma belgeleri.</t>
        </is>
      </c>
      <c r="T52" s="13" t="inlineStr">
        <is>
          <t>NACE kodu eşleştirmeyi destekler; tek başına taksonomi uyumluluğunu kanıtlamaz.</t>
        </is>
      </c>
      <c r="U52" s="14" t="inlineStr">
        <is>
          <t>Türkiye Yeşil Taksonomisi Yönetmeliği, EK-1</t>
        </is>
      </c>
    </row>
    <row r="53">
      <c r="A53" s="13" t="n">
        <v>51</v>
      </c>
      <c r="B53" s="13" t="n">
        <v>4</v>
      </c>
      <c r="C53" s="13" t="inlineStr">
        <is>
          <t>Enerji Faaliyetleri</t>
        </is>
      </c>
      <c r="D53" s="13" t="inlineStr">
        <is>
          <t>A-4.29; B-4.29</t>
        </is>
      </c>
      <c r="E53" s="13" t="inlineStr">
        <is>
          <t>Fosil Gaz Yakıtlardan Elektrik Üretimi</t>
        </is>
      </c>
      <c r="F53" s="13" t="inlineStr">
        <is>
          <t>EK-1 faaliyet başlığıdır. Ayrıntılı kapsam ve eşikler için yayımlanacak resmi teknik tarama kriterleri incelenmelidir.</t>
        </is>
      </c>
      <c r="G53" s="13" t="inlineStr"/>
      <c r="H53" s="13" t="inlineStr">
        <is>
          <t>Geçiş Faaliyeti</t>
        </is>
      </c>
      <c r="I53" s="13" t="inlineStr">
        <is>
          <t>Hayır</t>
        </is>
      </c>
      <c r="J53" s="13" t="inlineStr">
        <is>
          <t>Evet</t>
        </is>
      </c>
      <c r="K53" s="13" t="inlineStr">
        <is>
          <t>Evet</t>
        </is>
      </c>
      <c r="L53" s="13" t="inlineStr">
        <is>
          <t>Evet</t>
        </is>
      </c>
      <c r="M53" s="13" t="inlineStr"/>
      <c r="N53" s="13" t="inlineStr"/>
      <c r="O53" s="13" t="inlineStr"/>
      <c r="P53" s="13" t="inlineStr"/>
      <c r="Q53" s="13" t="inlineStr">
        <is>
          <t>Yayımlanmamış / Doğrulanmalı</t>
        </is>
      </c>
      <c r="R53" s="13" t="inlineStr">
        <is>
          <t>Faaliyet hacmi; enerji, yakıt, su, atık ve sera gazı verileri; hasılat, CAPEX ve OPEX; teknik performans göstergeleri.</t>
        </is>
      </c>
      <c r="S53" s="13" t="inlineStr">
        <is>
          <t>İzin ve ruhsatlar; sayaç/fatura kayıtları; emisyon ve atık beyanları; proje/teknik raporlar; doğrulama ve sosyal koruma belgeleri.</t>
        </is>
      </c>
      <c r="T53" s="13" t="inlineStr">
        <is>
          <t>NACE kodu eşleştirmeyi destekler; tek başına taksonomi uyumluluğunu kanıtlamaz.</t>
        </is>
      </c>
      <c r="U53" s="14" t="inlineStr">
        <is>
          <t>Türkiye Yeşil Taksonomisi Yönetmeliği, EK-1</t>
        </is>
      </c>
    </row>
    <row r="54">
      <c r="A54" s="13" t="n">
        <v>52</v>
      </c>
      <c r="B54" s="13" t="n">
        <v>4</v>
      </c>
      <c r="C54" s="13" t="inlineStr">
        <is>
          <t>Enerji Faaliyetleri</t>
        </is>
      </c>
      <c r="D54" s="13" t="inlineStr">
        <is>
          <t>A-4.30; B-4.30</t>
        </is>
      </c>
      <c r="E54" s="13" t="inlineStr">
        <is>
          <t>Fosil Gaz Yakıtlardan Yüksek Verimli Isı/Soğutma ve Güç Kojenerasyonu</t>
        </is>
      </c>
      <c r="F54" s="13" t="inlineStr">
        <is>
          <t>EK-1 faaliyet başlığıdır. Ayrıntılı kapsam ve eşikler için yayımlanacak resmi teknik tarama kriterleri incelenmelidir.</t>
        </is>
      </c>
      <c r="G54" s="13" t="inlineStr"/>
      <c r="H54" s="13" t="inlineStr">
        <is>
          <t>Diğer / Genel Faaliyet</t>
        </is>
      </c>
      <c r="I54" s="13" t="inlineStr">
        <is>
          <t>Hayır</t>
        </is>
      </c>
      <c r="J54" s="13" t="inlineStr">
        <is>
          <t>Hayır</t>
        </is>
      </c>
      <c r="K54" s="13" t="inlineStr">
        <is>
          <t>Evet</t>
        </is>
      </c>
      <c r="L54" s="13" t="inlineStr">
        <is>
          <t>Evet</t>
        </is>
      </c>
      <c r="M54" s="13" t="inlineStr"/>
      <c r="N54" s="13" t="inlineStr"/>
      <c r="O54" s="13" t="inlineStr"/>
      <c r="P54" s="13" t="inlineStr"/>
      <c r="Q54" s="13" t="inlineStr">
        <is>
          <t>Yayımlanmamış / Doğrulanmalı</t>
        </is>
      </c>
      <c r="R54" s="13" t="inlineStr">
        <is>
          <t>Faaliyet hacmi; enerji, yakıt, su, atık ve sera gazı verileri; hasılat, CAPEX ve OPEX; teknik performans göstergeleri.</t>
        </is>
      </c>
      <c r="S54" s="13" t="inlineStr">
        <is>
          <t>İzin ve ruhsatlar; sayaç/fatura kayıtları; emisyon ve atık beyanları; proje/teknik raporlar; doğrulama ve sosyal koruma belgeleri.</t>
        </is>
      </c>
      <c r="T54" s="13" t="inlineStr">
        <is>
          <t>NACE kodu eşleştirmeyi destekler; tek başına taksonomi uyumluluğunu kanıtlamaz.</t>
        </is>
      </c>
      <c r="U54" s="14" t="inlineStr">
        <is>
          <t>Türkiye Yeşil Taksonomisi Yönetmeliği, EK-1</t>
        </is>
      </c>
    </row>
    <row r="55">
      <c r="A55" s="13" t="n">
        <v>53</v>
      </c>
      <c r="B55" s="13" t="n">
        <v>4</v>
      </c>
      <c r="C55" s="13" t="inlineStr">
        <is>
          <t>Enerji Faaliyetleri</t>
        </is>
      </c>
      <c r="D55" s="13" t="inlineStr">
        <is>
          <t>A-4.31; B-4.31</t>
        </is>
      </c>
      <c r="E55" s="13" t="inlineStr">
        <is>
          <t>Verimli Bir Bölgesel Isıtma ve Soğutma Sisteminde Fosil Gaz Yakıtlardan Isı/Soğutma Üretimi</t>
        </is>
      </c>
      <c r="F55" s="13" t="inlineStr">
        <is>
          <t>EK-1 faaliyet başlığıdır. Ayrıntılı kapsam ve eşikler için yayımlanacak resmi teknik tarama kriterleri incelenmelidir.</t>
        </is>
      </c>
      <c r="G55" s="13" t="inlineStr"/>
      <c r="H55" s="13" t="inlineStr">
        <is>
          <t>Geçiş Faaliyeti</t>
        </is>
      </c>
      <c r="I55" s="13" t="inlineStr">
        <is>
          <t>Hayır</t>
        </is>
      </c>
      <c r="J55" s="13" t="inlineStr">
        <is>
          <t>Evet</t>
        </is>
      </c>
      <c r="K55" s="13" t="inlineStr">
        <is>
          <t>Evet</t>
        </is>
      </c>
      <c r="L55" s="13" t="inlineStr">
        <is>
          <t>Evet</t>
        </is>
      </c>
      <c r="M55" s="13" t="inlineStr"/>
      <c r="N55" s="13" t="inlineStr"/>
      <c r="O55" s="13" t="inlineStr"/>
      <c r="P55" s="13" t="inlineStr"/>
      <c r="Q55" s="13" t="inlineStr">
        <is>
          <t>Yayımlanmamış / Doğrulanmalı</t>
        </is>
      </c>
      <c r="R55" s="13" t="inlineStr">
        <is>
          <t>Faaliyet hacmi; enerji, yakıt, su, atık ve sera gazı verileri; hasılat, CAPEX ve OPEX; teknik performans göstergeleri.</t>
        </is>
      </c>
      <c r="S55" s="13" t="inlineStr">
        <is>
          <t>İzin ve ruhsatlar; sayaç/fatura kayıtları; emisyon ve atık beyanları; proje/teknik raporlar; doğrulama ve sosyal koruma belgeleri.</t>
        </is>
      </c>
      <c r="T55" s="13" t="inlineStr">
        <is>
          <t>NACE kodu eşleştirmeyi destekler; tek başına taksonomi uyumluluğunu kanıtlamaz.</t>
        </is>
      </c>
      <c r="U55" s="14" t="inlineStr">
        <is>
          <t>Türkiye Yeşil Taksonomisi Yönetmeliği, EK-1</t>
        </is>
      </c>
    </row>
    <row r="56">
      <c r="A56" s="13" t="n">
        <v>54</v>
      </c>
      <c r="B56" s="13" t="n">
        <v>5</v>
      </c>
      <c r="C56" s="13" t="inlineStr">
        <is>
          <t>Su Temini, Kanalizasyon, Atık Yönetimi ve İyileştirme Faaliyetleri</t>
        </is>
      </c>
      <c r="D56" s="13" t="inlineStr">
        <is>
          <t>A-5.1; B-5.1</t>
        </is>
      </c>
      <c r="E56" s="13" t="inlineStr">
        <is>
          <t>Su Toplama, Arıtma ve Tedarik Sistemlerinin İnşası, Genişletilmesi ve İşletilmesi</t>
        </is>
      </c>
      <c r="F56" s="13" t="inlineStr">
        <is>
          <t>EK-1 faaliyet başlığıdır. Ayrıntılı kapsam ve eşikler için yayımlanacak resmi teknik tarama kriterleri incelenmelidir.</t>
        </is>
      </c>
      <c r="G56" s="13" t="inlineStr"/>
      <c r="H56" s="13" t="inlineStr">
        <is>
          <t>Diğer / Genel Faaliyet</t>
        </is>
      </c>
      <c r="I56" s="13" t="inlineStr">
        <is>
          <t>Hayır</t>
        </is>
      </c>
      <c r="J56" s="13" t="inlineStr">
        <is>
          <t>Hayır</t>
        </is>
      </c>
      <c r="K56" s="13" t="inlineStr">
        <is>
          <t>Evet</t>
        </is>
      </c>
      <c r="L56" s="13" t="inlineStr">
        <is>
          <t>Evet</t>
        </is>
      </c>
      <c r="M56" s="13" t="inlineStr"/>
      <c r="N56" s="13" t="inlineStr"/>
      <c r="O56" s="13" t="inlineStr"/>
      <c r="P56" s="13" t="inlineStr"/>
      <c r="Q56" s="13" t="inlineStr">
        <is>
          <t>Yayımlanmamış / Doğrulanmalı</t>
        </is>
      </c>
      <c r="R56" s="13" t="inlineStr">
        <is>
          <t>Faaliyet hacmi; enerji, yakıt, su, atık ve sera gazı verileri; hasılat, CAPEX ve OPEX; teknik performans göstergeleri.</t>
        </is>
      </c>
      <c r="S56" s="13" t="inlineStr">
        <is>
          <t>İzin ve ruhsatlar; sayaç/fatura kayıtları; emisyon ve atık beyanları; proje/teknik raporlar; doğrulama ve sosyal koruma belgeleri.</t>
        </is>
      </c>
      <c r="T56" s="13" t="inlineStr">
        <is>
          <t>NACE kodu eşleştirmeyi destekler; tek başına taksonomi uyumluluğunu kanıtlamaz.</t>
        </is>
      </c>
      <c r="U56" s="14" t="inlineStr">
        <is>
          <t>Türkiye Yeşil Taksonomisi Yönetmeliği, EK-1</t>
        </is>
      </c>
    </row>
    <row r="57">
      <c r="A57" s="13" t="n">
        <v>55</v>
      </c>
      <c r="B57" s="13" t="n">
        <v>5</v>
      </c>
      <c r="C57" s="13" t="inlineStr">
        <is>
          <t>Su Temini, Kanalizasyon, Atık Yönetimi ve İyileştirme Faaliyetleri</t>
        </is>
      </c>
      <c r="D57" s="13" t="inlineStr">
        <is>
          <t>A-5.2; B-5.2</t>
        </is>
      </c>
      <c r="E57" s="13" t="inlineStr">
        <is>
          <t>Su Toplama, Arıtma ve Tedarik Sistemlerinin Yenilenmesi</t>
        </is>
      </c>
      <c r="F57" s="13" t="inlineStr">
        <is>
          <t>EK-1 faaliyet başlığıdır. Ayrıntılı kapsam ve eşikler için yayımlanacak resmi teknik tarama kriterleri incelenmelidir.</t>
        </is>
      </c>
      <c r="G57" s="13" t="inlineStr"/>
      <c r="H57" s="13" t="inlineStr">
        <is>
          <t>Diğer / Genel Faaliyet</t>
        </is>
      </c>
      <c r="I57" s="13" t="inlineStr">
        <is>
          <t>Hayır</t>
        </is>
      </c>
      <c r="J57" s="13" t="inlineStr">
        <is>
          <t>Hayır</t>
        </is>
      </c>
      <c r="K57" s="13" t="inlineStr">
        <is>
          <t>Evet</t>
        </is>
      </c>
      <c r="L57" s="13" t="inlineStr">
        <is>
          <t>Evet</t>
        </is>
      </c>
      <c r="M57" s="13" t="inlineStr"/>
      <c r="N57" s="13" t="inlineStr"/>
      <c r="O57" s="13" t="inlineStr"/>
      <c r="P57" s="13" t="inlineStr"/>
      <c r="Q57" s="13" t="inlineStr">
        <is>
          <t>Yayımlanmamış / Doğrulanmalı</t>
        </is>
      </c>
      <c r="R57" s="13" t="inlineStr">
        <is>
          <t>Faaliyet hacmi; enerji, yakıt, su, atık ve sera gazı verileri; hasılat, CAPEX ve OPEX; teknik performans göstergeleri.</t>
        </is>
      </c>
      <c r="S57" s="13" t="inlineStr">
        <is>
          <t>İzin ve ruhsatlar; sayaç/fatura kayıtları; emisyon ve atık beyanları; proje/teknik raporlar; doğrulama ve sosyal koruma belgeleri.</t>
        </is>
      </c>
      <c r="T57" s="13" t="inlineStr">
        <is>
          <t>NACE kodu eşleştirmeyi destekler; tek başına taksonomi uyumluluğunu kanıtlamaz.</t>
        </is>
      </c>
      <c r="U57" s="14" t="inlineStr">
        <is>
          <t>Türkiye Yeşil Taksonomisi Yönetmeliği, EK-1</t>
        </is>
      </c>
    </row>
    <row r="58">
      <c r="A58" s="13" t="n">
        <v>56</v>
      </c>
      <c r="B58" s="13" t="n">
        <v>5</v>
      </c>
      <c r="C58" s="13" t="inlineStr">
        <is>
          <t>Su Temini, Kanalizasyon, Atık Yönetimi ve İyileştirme Faaliyetleri</t>
        </is>
      </c>
      <c r="D58" s="13" t="inlineStr">
        <is>
          <t>A-5.3; B-5.3</t>
        </is>
      </c>
      <c r="E58" s="13" t="inlineStr">
        <is>
          <t>Atık Su Toplama ve Arıtma Tesislerinin İnşası, Genişletilmesi ve İşletilmesi</t>
        </is>
      </c>
      <c r="F58" s="13" t="inlineStr">
        <is>
          <t>EK-1 faaliyet başlığıdır. Ayrıntılı kapsam ve eşikler için yayımlanacak resmi teknik tarama kriterleri incelenmelidir.</t>
        </is>
      </c>
      <c r="G58" s="13" t="inlineStr"/>
      <c r="H58" s="13" t="inlineStr">
        <is>
          <t>Diğer / Genel Faaliyet</t>
        </is>
      </c>
      <c r="I58" s="13" t="inlineStr">
        <is>
          <t>Hayır</t>
        </is>
      </c>
      <c r="J58" s="13" t="inlineStr">
        <is>
          <t>Hayır</t>
        </is>
      </c>
      <c r="K58" s="13" t="inlineStr">
        <is>
          <t>Evet</t>
        </is>
      </c>
      <c r="L58" s="13" t="inlineStr">
        <is>
          <t>Evet</t>
        </is>
      </c>
      <c r="M58" s="13" t="inlineStr"/>
      <c r="N58" s="13" t="inlineStr"/>
      <c r="O58" s="13" t="inlineStr"/>
      <c r="P58" s="13" t="inlineStr"/>
      <c r="Q58" s="13" t="inlineStr">
        <is>
          <t>Yayımlanmamış / Doğrulanmalı</t>
        </is>
      </c>
      <c r="R58" s="13" t="inlineStr">
        <is>
          <t>Faaliyet hacmi; enerji, yakıt, su, atık ve sera gazı verileri; hasılat, CAPEX ve OPEX; teknik performans göstergeleri.</t>
        </is>
      </c>
      <c r="S58" s="13" t="inlineStr">
        <is>
          <t>İzin ve ruhsatlar; sayaç/fatura kayıtları; emisyon ve atık beyanları; proje/teknik raporlar; doğrulama ve sosyal koruma belgeleri.</t>
        </is>
      </c>
      <c r="T58" s="13" t="inlineStr">
        <is>
          <t>NACE kodu eşleştirmeyi destekler; tek başına taksonomi uyumluluğunu kanıtlamaz.</t>
        </is>
      </c>
      <c r="U58" s="14" t="inlineStr">
        <is>
          <t>Türkiye Yeşil Taksonomisi Yönetmeliği, EK-1</t>
        </is>
      </c>
    </row>
    <row r="59">
      <c r="A59" s="13" t="n">
        <v>57</v>
      </c>
      <c r="B59" s="13" t="n">
        <v>5</v>
      </c>
      <c r="C59" s="13" t="inlineStr">
        <is>
          <t>Su Temini, Kanalizasyon, Atık Yönetimi ve İyileştirme Faaliyetleri</t>
        </is>
      </c>
      <c r="D59" s="13" t="inlineStr">
        <is>
          <t>A-5.4; B-5.4</t>
        </is>
      </c>
      <c r="E59" s="13" t="inlineStr">
        <is>
          <t>Atık Su Toplama ve Arıtmanın Yenilenmesi</t>
        </is>
      </c>
      <c r="F59" s="13" t="inlineStr">
        <is>
          <t>EK-1 faaliyet başlığıdır. Ayrıntılı kapsam ve eşikler için yayımlanacak resmi teknik tarama kriterleri incelenmelidir.</t>
        </is>
      </c>
      <c r="G59" s="13" t="inlineStr"/>
      <c r="H59" s="13" t="inlineStr">
        <is>
          <t>Diğer / Genel Faaliyet</t>
        </is>
      </c>
      <c r="I59" s="13" t="inlineStr">
        <is>
          <t>Hayır</t>
        </is>
      </c>
      <c r="J59" s="13" t="inlineStr">
        <is>
          <t>Hayır</t>
        </is>
      </c>
      <c r="K59" s="13" t="inlineStr">
        <is>
          <t>Evet</t>
        </is>
      </c>
      <c r="L59" s="13" t="inlineStr">
        <is>
          <t>Evet</t>
        </is>
      </c>
      <c r="M59" s="13" t="inlineStr"/>
      <c r="N59" s="13" t="inlineStr"/>
      <c r="O59" s="13" t="inlineStr"/>
      <c r="P59" s="13" t="inlineStr"/>
      <c r="Q59" s="13" t="inlineStr">
        <is>
          <t>Yayımlanmamış / Doğrulanmalı</t>
        </is>
      </c>
      <c r="R59" s="13" t="inlineStr">
        <is>
          <t>Faaliyet hacmi; enerji, yakıt, su, atık ve sera gazı verileri; hasılat, CAPEX ve OPEX; teknik performans göstergeleri.</t>
        </is>
      </c>
      <c r="S59" s="13" t="inlineStr">
        <is>
          <t>İzin ve ruhsatlar; sayaç/fatura kayıtları; emisyon ve atık beyanları; proje/teknik raporlar; doğrulama ve sosyal koruma belgeleri.</t>
        </is>
      </c>
      <c r="T59" s="13" t="inlineStr">
        <is>
          <t>NACE kodu eşleştirmeyi destekler; tek başına taksonomi uyumluluğunu kanıtlamaz.</t>
        </is>
      </c>
      <c r="U59" s="14" t="inlineStr">
        <is>
          <t>Türkiye Yeşil Taksonomisi Yönetmeliği, EK-1</t>
        </is>
      </c>
    </row>
    <row r="60">
      <c r="A60" s="13" t="n">
        <v>58</v>
      </c>
      <c r="B60" s="13" t="n">
        <v>5</v>
      </c>
      <c r="C60" s="13" t="inlineStr">
        <is>
          <t>Su Temini, Kanalizasyon, Atık Yönetimi ve İyileştirme Faaliyetleri</t>
        </is>
      </c>
      <c r="D60" s="13" t="inlineStr">
        <is>
          <t>A-5.5; B-5.5</t>
        </is>
      </c>
      <c r="E60" s="13" t="inlineStr">
        <is>
          <t>Tehlikesiz Atıkların Kaynağında Ayrıştırılmış Fraksiyonlar Halinde Toplanması ve Taşınması</t>
        </is>
      </c>
      <c r="F60" s="13" t="inlineStr">
        <is>
          <t>EK-1 faaliyet başlığıdır. Ayrıntılı kapsam ve eşikler için yayımlanacak resmi teknik tarama kriterleri incelenmelidir.</t>
        </is>
      </c>
      <c r="G60" s="13" t="inlineStr"/>
      <c r="H60" s="13" t="inlineStr">
        <is>
          <t>Diğer / Genel Faaliyet</t>
        </is>
      </c>
      <c r="I60" s="13" t="inlineStr">
        <is>
          <t>Hayır</t>
        </is>
      </c>
      <c r="J60" s="13" t="inlineStr">
        <is>
          <t>Hayır</t>
        </is>
      </c>
      <c r="K60" s="13" t="inlineStr">
        <is>
          <t>Evet</t>
        </is>
      </c>
      <c r="L60" s="13" t="inlineStr">
        <is>
          <t>Evet</t>
        </is>
      </c>
      <c r="M60" s="13" t="inlineStr"/>
      <c r="N60" s="13" t="inlineStr"/>
      <c r="O60" s="13" t="inlineStr"/>
      <c r="P60" s="13" t="inlineStr"/>
      <c r="Q60" s="13" t="inlineStr">
        <is>
          <t>Yayımlanmamış / Doğrulanmalı</t>
        </is>
      </c>
      <c r="R60" s="13" t="inlineStr">
        <is>
          <t>Faaliyet hacmi; enerji, yakıt, su, atık ve sera gazı verileri; hasılat, CAPEX ve OPEX; teknik performans göstergeleri.</t>
        </is>
      </c>
      <c r="S60" s="13" t="inlineStr">
        <is>
          <t>İzin ve ruhsatlar; sayaç/fatura kayıtları; emisyon ve atık beyanları; proje/teknik raporlar; doğrulama ve sosyal koruma belgeleri.</t>
        </is>
      </c>
      <c r="T60" s="13" t="inlineStr">
        <is>
          <t>NACE kodu eşleştirmeyi destekler; tek başına taksonomi uyumluluğunu kanıtlamaz.</t>
        </is>
      </c>
      <c r="U60" s="14" t="inlineStr">
        <is>
          <t>Türkiye Yeşil Taksonomisi Yönetmeliği, EK-1</t>
        </is>
      </c>
    </row>
    <row r="61">
      <c r="A61" s="13" t="n">
        <v>59</v>
      </c>
      <c r="B61" s="13" t="n">
        <v>5</v>
      </c>
      <c r="C61" s="13" t="inlineStr">
        <is>
          <t>Su Temini, Kanalizasyon, Atık Yönetimi ve İyileştirme Faaliyetleri</t>
        </is>
      </c>
      <c r="D61" s="13" t="inlineStr">
        <is>
          <t>A-5.6; B-5.6</t>
        </is>
      </c>
      <c r="E61" s="13" t="inlineStr">
        <is>
          <t>Arıtma Çamurunun Anaerobik Çürütülmesi</t>
        </is>
      </c>
      <c r="F61" s="13" t="inlineStr">
        <is>
          <t>EK-1 faaliyet başlığıdır. Ayrıntılı kapsam ve eşikler için yayımlanacak resmi teknik tarama kriterleri incelenmelidir.</t>
        </is>
      </c>
      <c r="G61" s="13" t="inlineStr"/>
      <c r="H61" s="13" t="inlineStr">
        <is>
          <t>Diğer / Genel Faaliyet</t>
        </is>
      </c>
      <c r="I61" s="13" t="inlineStr">
        <is>
          <t>Hayır</t>
        </is>
      </c>
      <c r="J61" s="13" t="inlineStr">
        <is>
          <t>Hayır</t>
        </is>
      </c>
      <c r="K61" s="13" t="inlineStr">
        <is>
          <t>Evet</t>
        </is>
      </c>
      <c r="L61" s="13" t="inlineStr">
        <is>
          <t>Evet</t>
        </is>
      </c>
      <c r="M61" s="13" t="inlineStr"/>
      <c r="N61" s="13" t="inlineStr"/>
      <c r="O61" s="13" t="inlineStr"/>
      <c r="P61" s="13" t="inlineStr"/>
      <c r="Q61" s="13" t="inlineStr">
        <is>
          <t>Yayımlanmamış / Doğrulanmalı</t>
        </is>
      </c>
      <c r="R61" s="13" t="inlineStr">
        <is>
          <t>Faaliyet hacmi; enerji, yakıt, su, atık ve sera gazı verileri; hasılat, CAPEX ve OPEX; teknik performans göstergeleri.</t>
        </is>
      </c>
      <c r="S61" s="13" t="inlineStr">
        <is>
          <t>İzin ve ruhsatlar; sayaç/fatura kayıtları; emisyon ve atık beyanları; proje/teknik raporlar; doğrulama ve sosyal koruma belgeleri.</t>
        </is>
      </c>
      <c r="T61" s="13" t="inlineStr">
        <is>
          <t>NACE kodu eşleştirmeyi destekler; tek başına taksonomi uyumluluğunu kanıtlamaz.</t>
        </is>
      </c>
      <c r="U61" s="14" t="inlineStr">
        <is>
          <t>Türkiye Yeşil Taksonomisi Yönetmeliği, EK-1</t>
        </is>
      </c>
    </row>
    <row r="62">
      <c r="A62" s="13" t="n">
        <v>60</v>
      </c>
      <c r="B62" s="13" t="n">
        <v>5</v>
      </c>
      <c r="C62" s="13" t="inlineStr">
        <is>
          <t>Su Temini, Kanalizasyon, Atık Yönetimi ve İyileştirme Faaliyetleri</t>
        </is>
      </c>
      <c r="D62" s="13" t="inlineStr">
        <is>
          <t>A-5.7; B-5.7</t>
        </is>
      </c>
      <c r="E62" s="13" t="inlineStr">
        <is>
          <t>Biyobozunur Atıkların Anaerobik Çürütülmesi</t>
        </is>
      </c>
      <c r="F62" s="13" t="inlineStr">
        <is>
          <t>EK-1 faaliyet başlığıdır. Ayrıntılı kapsam ve eşikler için yayımlanacak resmi teknik tarama kriterleri incelenmelidir.</t>
        </is>
      </c>
      <c r="G62" s="13" t="inlineStr"/>
      <c r="H62" s="13" t="inlineStr">
        <is>
          <t>Diğer / Genel Faaliyet</t>
        </is>
      </c>
      <c r="I62" s="13" t="inlineStr">
        <is>
          <t>Hayır</t>
        </is>
      </c>
      <c r="J62" s="13" t="inlineStr">
        <is>
          <t>Hayır</t>
        </is>
      </c>
      <c r="K62" s="13" t="inlineStr">
        <is>
          <t>Evet</t>
        </is>
      </c>
      <c r="L62" s="13" t="inlineStr">
        <is>
          <t>Evet</t>
        </is>
      </c>
      <c r="M62" s="13" t="inlineStr"/>
      <c r="N62" s="13" t="inlineStr"/>
      <c r="O62" s="13" t="inlineStr"/>
      <c r="P62" s="13" t="inlineStr"/>
      <c r="Q62" s="13" t="inlineStr">
        <is>
          <t>Yayımlanmamış / Doğrulanmalı</t>
        </is>
      </c>
      <c r="R62" s="13" t="inlineStr">
        <is>
          <t>Faaliyet hacmi; enerji, yakıt, su, atık ve sera gazı verileri; hasılat, CAPEX ve OPEX; teknik performans göstergeleri.</t>
        </is>
      </c>
      <c r="S62" s="13" t="inlineStr">
        <is>
          <t>İzin ve ruhsatlar; sayaç/fatura kayıtları; emisyon ve atık beyanları; proje/teknik raporlar; doğrulama ve sosyal koruma belgeleri.</t>
        </is>
      </c>
      <c r="T62" s="13" t="inlineStr">
        <is>
          <t>NACE kodu eşleştirmeyi destekler; tek başına taksonomi uyumluluğunu kanıtlamaz.</t>
        </is>
      </c>
      <c r="U62" s="14" t="inlineStr">
        <is>
          <t>Türkiye Yeşil Taksonomisi Yönetmeliği, EK-1</t>
        </is>
      </c>
    </row>
    <row r="63">
      <c r="A63" s="13" t="n">
        <v>61</v>
      </c>
      <c r="B63" s="13" t="n">
        <v>5</v>
      </c>
      <c r="C63" s="13" t="inlineStr">
        <is>
          <t>Su Temini, Kanalizasyon, Atık Yönetimi ve İyileştirme Faaliyetleri</t>
        </is>
      </c>
      <c r="D63" s="13" t="inlineStr">
        <is>
          <t>A-5.8; B-5.8</t>
        </is>
      </c>
      <c r="E63" s="13" t="inlineStr">
        <is>
          <t>Biyobozunur Atıkların Kompostlanması</t>
        </is>
      </c>
      <c r="F63" s="13" t="inlineStr">
        <is>
          <t>EK-1 faaliyet başlığıdır. Ayrıntılı kapsam ve eşikler için yayımlanacak resmi teknik tarama kriterleri incelenmelidir.</t>
        </is>
      </c>
      <c r="G63" s="13" t="inlineStr"/>
      <c r="H63" s="13" t="inlineStr">
        <is>
          <t>Diğer / Genel Faaliyet</t>
        </is>
      </c>
      <c r="I63" s="13" t="inlineStr">
        <is>
          <t>Hayır</t>
        </is>
      </c>
      <c r="J63" s="13" t="inlineStr">
        <is>
          <t>Hayır</t>
        </is>
      </c>
      <c r="K63" s="13" t="inlineStr">
        <is>
          <t>Evet</t>
        </is>
      </c>
      <c r="L63" s="13" t="inlineStr">
        <is>
          <t>Evet</t>
        </is>
      </c>
      <c r="M63" s="13" t="inlineStr"/>
      <c r="N63" s="13" t="inlineStr"/>
      <c r="O63" s="13" t="inlineStr"/>
      <c r="P63" s="13" t="inlineStr"/>
      <c r="Q63" s="13" t="inlineStr">
        <is>
          <t>Yayımlanmamış / Doğrulanmalı</t>
        </is>
      </c>
      <c r="R63" s="13" t="inlineStr">
        <is>
          <t>Faaliyet hacmi; enerji, yakıt, su, atık ve sera gazı verileri; hasılat, CAPEX ve OPEX; teknik performans göstergeleri.</t>
        </is>
      </c>
      <c r="S63" s="13" t="inlineStr">
        <is>
          <t>İzin ve ruhsatlar; sayaç/fatura kayıtları; emisyon ve atık beyanları; proje/teknik raporlar; doğrulama ve sosyal koruma belgeleri.</t>
        </is>
      </c>
      <c r="T63" s="13" t="inlineStr">
        <is>
          <t>NACE kodu eşleştirmeyi destekler; tek başına taksonomi uyumluluğunu kanıtlamaz.</t>
        </is>
      </c>
      <c r="U63" s="14" t="inlineStr">
        <is>
          <t>Türkiye Yeşil Taksonomisi Yönetmeliği, EK-1</t>
        </is>
      </c>
    </row>
    <row r="64">
      <c r="A64" s="13" t="n">
        <v>62</v>
      </c>
      <c r="B64" s="13" t="n">
        <v>5</v>
      </c>
      <c r="C64" s="13" t="inlineStr">
        <is>
          <t>Su Temini, Kanalizasyon, Atık Yönetimi ve İyileştirme Faaliyetleri</t>
        </is>
      </c>
      <c r="D64" s="13" t="inlineStr">
        <is>
          <t>A-5.9; B-5.9</t>
        </is>
      </c>
      <c r="E64" s="13" t="inlineStr">
        <is>
          <t>Tehlikesiz Atıklardan Malzeme Geri Kazanımı</t>
        </is>
      </c>
      <c r="F64" s="13" t="inlineStr">
        <is>
          <t>EK-1 faaliyet başlığıdır. Ayrıntılı kapsam ve eşikler için yayımlanacak resmi teknik tarama kriterleri incelenmelidir.</t>
        </is>
      </c>
      <c r="G64" s="13" t="inlineStr"/>
      <c r="H64" s="13" t="inlineStr">
        <is>
          <t>Diğer / Genel Faaliyet</t>
        </is>
      </c>
      <c r="I64" s="13" t="inlineStr">
        <is>
          <t>Hayır</t>
        </is>
      </c>
      <c r="J64" s="13" t="inlineStr">
        <is>
          <t>Hayır</t>
        </is>
      </c>
      <c r="K64" s="13" t="inlineStr">
        <is>
          <t>Evet</t>
        </is>
      </c>
      <c r="L64" s="13" t="inlineStr">
        <is>
          <t>Evet</t>
        </is>
      </c>
      <c r="M64" s="13" t="inlineStr"/>
      <c r="N64" s="13" t="inlineStr"/>
      <c r="O64" s="13" t="inlineStr"/>
      <c r="P64" s="13" t="inlineStr"/>
      <c r="Q64" s="13" t="inlineStr">
        <is>
          <t>Yayımlanmamış / Doğrulanmalı</t>
        </is>
      </c>
      <c r="R64" s="13" t="inlineStr">
        <is>
          <t>Faaliyet hacmi; enerji, yakıt, su, atık ve sera gazı verileri; hasılat, CAPEX ve OPEX; teknik performans göstergeleri.</t>
        </is>
      </c>
      <c r="S64" s="13" t="inlineStr">
        <is>
          <t>İzin ve ruhsatlar; sayaç/fatura kayıtları; emisyon ve atık beyanları; proje/teknik raporlar; doğrulama ve sosyal koruma belgeleri.</t>
        </is>
      </c>
      <c r="T64" s="13" t="inlineStr">
        <is>
          <t>NACE kodu eşleştirmeyi destekler; tek başına taksonomi uyumluluğunu kanıtlamaz.</t>
        </is>
      </c>
      <c r="U64" s="14" t="inlineStr">
        <is>
          <t>Türkiye Yeşil Taksonomisi Yönetmeliği, EK-1</t>
        </is>
      </c>
    </row>
    <row r="65">
      <c r="A65" s="13" t="n">
        <v>63</v>
      </c>
      <c r="B65" s="13" t="n">
        <v>5</v>
      </c>
      <c r="C65" s="13" t="inlineStr">
        <is>
          <t>Su Temini, Kanalizasyon, Atık Yönetimi ve İyileştirme Faaliyetleri</t>
        </is>
      </c>
      <c r="D65" s="13" t="inlineStr">
        <is>
          <t>A-5.10; B-5.10</t>
        </is>
      </c>
      <c r="E65" s="13" t="inlineStr">
        <is>
          <t>Çöp Gazı Yakalama ve Kullanma</t>
        </is>
      </c>
      <c r="F65" s="13" t="inlineStr">
        <is>
          <t>EK-1 faaliyet başlığıdır. Ayrıntılı kapsam ve eşikler için yayımlanacak resmi teknik tarama kriterleri incelenmelidir.</t>
        </is>
      </c>
      <c r="G65" s="13" t="inlineStr"/>
      <c r="H65" s="13" t="inlineStr">
        <is>
          <t>Diğer / Genel Faaliyet</t>
        </is>
      </c>
      <c r="I65" s="13" t="inlineStr">
        <is>
          <t>Hayır</t>
        </is>
      </c>
      <c r="J65" s="13" t="inlineStr">
        <is>
          <t>Hayır</t>
        </is>
      </c>
      <c r="K65" s="13" t="inlineStr">
        <is>
          <t>Evet</t>
        </is>
      </c>
      <c r="L65" s="13" t="inlineStr">
        <is>
          <t>Evet</t>
        </is>
      </c>
      <c r="M65" s="13" t="inlineStr"/>
      <c r="N65" s="13" t="inlineStr"/>
      <c r="O65" s="13" t="inlineStr"/>
      <c r="P65" s="13" t="inlineStr"/>
      <c r="Q65" s="13" t="inlineStr">
        <is>
          <t>Yayımlanmamış / Doğrulanmalı</t>
        </is>
      </c>
      <c r="R65" s="13" t="inlineStr">
        <is>
          <t>Faaliyet hacmi; enerji, yakıt, su, atık ve sera gazı verileri; hasılat, CAPEX ve OPEX; teknik performans göstergeleri.</t>
        </is>
      </c>
      <c r="S65" s="13" t="inlineStr">
        <is>
          <t>İzin ve ruhsatlar; sayaç/fatura kayıtları; emisyon ve atık beyanları; proje/teknik raporlar; doğrulama ve sosyal koruma belgeleri.</t>
        </is>
      </c>
      <c r="T65" s="13" t="inlineStr">
        <is>
          <t>NACE kodu eşleştirmeyi destekler; tek başına taksonomi uyumluluğunu kanıtlamaz.</t>
        </is>
      </c>
      <c r="U65" s="14" t="inlineStr">
        <is>
          <t>Türkiye Yeşil Taksonomisi Yönetmeliği, EK-1</t>
        </is>
      </c>
    </row>
    <row r="66">
      <c r="A66" s="13" t="n">
        <v>64</v>
      </c>
      <c r="B66" s="13" t="n">
        <v>5</v>
      </c>
      <c r="C66" s="13" t="inlineStr">
        <is>
          <t>Su Temini, Kanalizasyon, Atık Yönetimi ve İyileştirme Faaliyetleri</t>
        </is>
      </c>
      <c r="D66" s="13" t="inlineStr">
        <is>
          <t>A-5.11; B-5.11</t>
        </is>
      </c>
      <c r="E66" s="13" t="inlineStr">
        <is>
          <t>Karbondioksitin Taşınması</t>
        </is>
      </c>
      <c r="F66" s="13" t="inlineStr">
        <is>
          <t>EK-1 faaliyet başlığıdır. Ayrıntılı kapsam ve eşikler için yayımlanacak resmi teknik tarama kriterleri incelenmelidir.</t>
        </is>
      </c>
      <c r="G66" s="13" t="inlineStr"/>
      <c r="H66" s="13" t="inlineStr">
        <is>
          <t>Kolaylaştırıcı Faaliyet</t>
        </is>
      </c>
      <c r="I66" s="13" t="inlineStr">
        <is>
          <t>Evet</t>
        </is>
      </c>
      <c r="J66" s="13" t="inlineStr">
        <is>
          <t>Hayır</t>
        </is>
      </c>
      <c r="K66" s="13" t="inlineStr">
        <is>
          <t>Evet</t>
        </is>
      </c>
      <c r="L66" s="13" t="inlineStr">
        <is>
          <t>Evet</t>
        </is>
      </c>
      <c r="M66" s="13" t="inlineStr"/>
      <c r="N66" s="13" t="inlineStr"/>
      <c r="O66" s="13" t="inlineStr"/>
      <c r="P66" s="13" t="inlineStr"/>
      <c r="Q66" s="13" t="inlineStr">
        <is>
          <t>Yayımlanmamış / Doğrulanmalı</t>
        </is>
      </c>
      <c r="R66" s="13" t="inlineStr">
        <is>
          <t>Faaliyet hacmi; enerji, yakıt, su, atık ve sera gazı verileri; hasılat, CAPEX ve OPEX; teknik performans göstergeleri.</t>
        </is>
      </c>
      <c r="S66" s="13" t="inlineStr">
        <is>
          <t>İzin ve ruhsatlar; sayaç/fatura kayıtları; emisyon ve atık beyanları; proje/teknik raporlar; doğrulama ve sosyal koruma belgeleri.</t>
        </is>
      </c>
      <c r="T66" s="13" t="inlineStr">
        <is>
          <t>NACE kodu eşleştirmeyi destekler; tek başına taksonomi uyumluluğunu kanıtlamaz.</t>
        </is>
      </c>
      <c r="U66" s="14" t="inlineStr">
        <is>
          <t>Türkiye Yeşil Taksonomisi Yönetmeliği, EK-1</t>
        </is>
      </c>
    </row>
    <row r="67">
      <c r="A67" s="13" t="n">
        <v>65</v>
      </c>
      <c r="B67" s="13" t="n">
        <v>5</v>
      </c>
      <c r="C67" s="13" t="inlineStr">
        <is>
          <t>Su Temini, Kanalizasyon, Atık Yönetimi ve İyileştirme Faaliyetleri</t>
        </is>
      </c>
      <c r="D67" s="13" t="inlineStr">
        <is>
          <t>A-5.12; B-5.12</t>
        </is>
      </c>
      <c r="E67" s="13" t="inlineStr">
        <is>
          <t>Karbondioksitin Yeraltında Kalıcı Jeolojik Depolanması</t>
        </is>
      </c>
      <c r="F67" s="13" t="inlineStr">
        <is>
          <t>EK-1 faaliyet başlığıdır. Ayrıntılı kapsam ve eşikler için yayımlanacak resmi teknik tarama kriterleri incelenmelidir.</t>
        </is>
      </c>
      <c r="G67" s="13" t="inlineStr"/>
      <c r="H67" s="13" t="inlineStr">
        <is>
          <t>Diğer / Genel Faaliyet</t>
        </is>
      </c>
      <c r="I67" s="13" t="inlineStr">
        <is>
          <t>Hayır</t>
        </is>
      </c>
      <c r="J67" s="13" t="inlineStr">
        <is>
          <t>Hayır</t>
        </is>
      </c>
      <c r="K67" s="13" t="inlineStr">
        <is>
          <t>Evet</t>
        </is>
      </c>
      <c r="L67" s="13" t="inlineStr">
        <is>
          <t>Evet</t>
        </is>
      </c>
      <c r="M67" s="13" t="inlineStr"/>
      <c r="N67" s="13" t="inlineStr"/>
      <c r="O67" s="13" t="inlineStr"/>
      <c r="P67" s="13" t="inlineStr"/>
      <c r="Q67" s="13" t="inlineStr">
        <is>
          <t>Yayımlanmamış / Doğrulanmalı</t>
        </is>
      </c>
      <c r="R67" s="13" t="inlineStr">
        <is>
          <t>Faaliyet hacmi; enerji, yakıt, su, atık ve sera gazı verileri; hasılat, CAPEX ve OPEX; teknik performans göstergeleri.</t>
        </is>
      </c>
      <c r="S67" s="13" t="inlineStr">
        <is>
          <t>İzin ve ruhsatlar; sayaç/fatura kayıtları; emisyon ve atık beyanları; proje/teknik raporlar; doğrulama ve sosyal koruma belgeleri.</t>
        </is>
      </c>
      <c r="T67" s="13" t="inlineStr">
        <is>
          <t>NACE kodu eşleştirmeyi destekler; tek başına taksonomi uyumluluğunu kanıtlamaz.</t>
        </is>
      </c>
      <c r="U67" s="14" t="inlineStr">
        <is>
          <t>Türkiye Yeşil Taksonomisi Yönetmeliği, EK-1</t>
        </is>
      </c>
    </row>
    <row r="68">
      <c r="A68" s="13" t="n">
        <v>66</v>
      </c>
      <c r="B68" s="13" t="n">
        <v>6</v>
      </c>
      <c r="C68" s="13" t="inlineStr">
        <is>
          <t>Ulaştırma Faaliyetleri</t>
        </is>
      </c>
      <c r="D68" s="13" t="inlineStr">
        <is>
          <t>A-6.1; B-6.1</t>
        </is>
      </c>
      <c r="E68" s="13" t="inlineStr">
        <is>
          <t>Şehirlerarası Demiryolu Yolcu Taşımacılığı</t>
        </is>
      </c>
      <c r="F68" s="13" t="inlineStr">
        <is>
          <t>EK-1 faaliyet başlığıdır. Ayrıntılı kapsam ve eşikler için yayımlanacak resmi teknik tarama kriterleri incelenmelidir.</t>
        </is>
      </c>
      <c r="G68" s="13" t="inlineStr"/>
      <c r="H68" s="13" t="inlineStr">
        <is>
          <t>Geçiş Faaliyeti</t>
        </is>
      </c>
      <c r="I68" s="13" t="inlineStr">
        <is>
          <t>Hayır</t>
        </is>
      </c>
      <c r="J68" s="13" t="inlineStr">
        <is>
          <t>Evet</t>
        </is>
      </c>
      <c r="K68" s="13" t="inlineStr">
        <is>
          <t>Evet</t>
        </is>
      </c>
      <c r="L68" s="13" t="inlineStr">
        <is>
          <t>Evet</t>
        </is>
      </c>
      <c r="M68" s="13" t="inlineStr"/>
      <c r="N68" s="13" t="inlineStr"/>
      <c r="O68" s="13" t="inlineStr"/>
      <c r="P68" s="13" t="inlineStr"/>
      <c r="Q68" s="13" t="inlineStr">
        <is>
          <t>Yayımlanmamış / Doğrulanmalı</t>
        </is>
      </c>
      <c r="R68" s="13" t="inlineStr">
        <is>
          <t>Faaliyet hacmi; enerji, yakıt, su, atık ve sera gazı verileri; hasılat, CAPEX ve OPEX; teknik performans göstergeleri.</t>
        </is>
      </c>
      <c r="S68" s="13" t="inlineStr">
        <is>
          <t>İzin ve ruhsatlar; sayaç/fatura kayıtları; emisyon ve atık beyanları; proje/teknik raporlar; doğrulama ve sosyal koruma belgeleri.</t>
        </is>
      </c>
      <c r="T68" s="13" t="inlineStr">
        <is>
          <t>NACE kodu eşleştirmeyi destekler; tek başına taksonomi uyumluluğunu kanıtlamaz.</t>
        </is>
      </c>
      <c r="U68" s="14" t="inlineStr">
        <is>
          <t>Türkiye Yeşil Taksonomisi Yönetmeliği, EK-1</t>
        </is>
      </c>
    </row>
    <row r="69">
      <c r="A69" s="13" t="n">
        <v>67</v>
      </c>
      <c r="B69" s="13" t="n">
        <v>6</v>
      </c>
      <c r="C69" s="13" t="inlineStr">
        <is>
          <t>Ulaştırma Faaliyetleri</t>
        </is>
      </c>
      <c r="D69" s="13" t="inlineStr">
        <is>
          <t>A-6.2; B-6.2</t>
        </is>
      </c>
      <c r="E69" s="13" t="inlineStr">
        <is>
          <t>Demiryolu Yük Taşımacılığı</t>
        </is>
      </c>
      <c r="F69" s="13" t="inlineStr">
        <is>
          <t>EK-1 faaliyet başlığıdır. Ayrıntılı kapsam ve eşikler için yayımlanacak resmi teknik tarama kriterleri incelenmelidir.</t>
        </is>
      </c>
      <c r="G69" s="13" t="inlineStr"/>
      <c r="H69" s="13" t="inlineStr">
        <is>
          <t>Geçiş Faaliyeti</t>
        </is>
      </c>
      <c r="I69" s="13" t="inlineStr">
        <is>
          <t>Hayır</t>
        </is>
      </c>
      <c r="J69" s="13" t="inlineStr">
        <is>
          <t>Evet</t>
        </is>
      </c>
      <c r="K69" s="13" t="inlineStr">
        <is>
          <t>Evet</t>
        </is>
      </c>
      <c r="L69" s="13" t="inlineStr">
        <is>
          <t>Evet</t>
        </is>
      </c>
      <c r="M69" s="13" t="inlineStr"/>
      <c r="N69" s="13" t="inlineStr"/>
      <c r="O69" s="13" t="inlineStr"/>
      <c r="P69" s="13" t="inlineStr"/>
      <c r="Q69" s="13" t="inlineStr">
        <is>
          <t>Yayımlanmamış / Doğrulanmalı</t>
        </is>
      </c>
      <c r="R69" s="13" t="inlineStr">
        <is>
          <t>Faaliyet hacmi; enerji, yakıt, su, atık ve sera gazı verileri; hasılat, CAPEX ve OPEX; teknik performans göstergeleri.</t>
        </is>
      </c>
      <c r="S69" s="13" t="inlineStr">
        <is>
          <t>İzin ve ruhsatlar; sayaç/fatura kayıtları; emisyon ve atık beyanları; proje/teknik raporlar; doğrulama ve sosyal koruma belgeleri.</t>
        </is>
      </c>
      <c r="T69" s="13" t="inlineStr">
        <is>
          <t>NACE kodu eşleştirmeyi destekler; tek başına taksonomi uyumluluğunu kanıtlamaz.</t>
        </is>
      </c>
      <c r="U69" s="14" t="inlineStr">
        <is>
          <t>Türkiye Yeşil Taksonomisi Yönetmeliği, EK-1</t>
        </is>
      </c>
    </row>
    <row r="70">
      <c r="A70" s="13" t="n">
        <v>68</v>
      </c>
      <c r="B70" s="13" t="n">
        <v>6</v>
      </c>
      <c r="C70" s="13" t="inlineStr">
        <is>
          <t>Ulaştırma Faaliyetleri</t>
        </is>
      </c>
      <c r="D70" s="13" t="inlineStr">
        <is>
          <t>A-6.3; B-6.3</t>
        </is>
      </c>
      <c r="E70" s="13" t="inlineStr">
        <is>
          <t>Şehir İçi ve Banliyö Taşımacılığı, Karayolu Yolcu Taşımacılığı</t>
        </is>
      </c>
      <c r="F70" s="13" t="inlineStr">
        <is>
          <t>EK-1 faaliyet başlığıdır. Ayrıntılı kapsam ve eşikler için yayımlanacak resmi teknik tarama kriterleri incelenmelidir.</t>
        </is>
      </c>
      <c r="G70" s="13" t="inlineStr"/>
      <c r="H70" s="13" t="inlineStr">
        <is>
          <t>Geçiş Faaliyeti</t>
        </is>
      </c>
      <c r="I70" s="13" t="inlineStr">
        <is>
          <t>Hayır</t>
        </is>
      </c>
      <c r="J70" s="13" t="inlineStr">
        <is>
          <t>Evet</t>
        </is>
      </c>
      <c r="K70" s="13" t="inlineStr">
        <is>
          <t>Evet</t>
        </is>
      </c>
      <c r="L70" s="13" t="inlineStr">
        <is>
          <t>Evet</t>
        </is>
      </c>
      <c r="M70" s="13" t="inlineStr"/>
      <c r="N70" s="13" t="inlineStr"/>
      <c r="O70" s="13" t="inlineStr"/>
      <c r="P70" s="13" t="inlineStr"/>
      <c r="Q70" s="13" t="inlineStr">
        <is>
          <t>Yayımlanmamış / Doğrulanmalı</t>
        </is>
      </c>
      <c r="R70" s="13" t="inlineStr">
        <is>
          <t>Faaliyet hacmi; enerji, yakıt, su, atık ve sera gazı verileri; hasılat, CAPEX ve OPEX; teknik performans göstergeleri.</t>
        </is>
      </c>
      <c r="S70" s="13" t="inlineStr">
        <is>
          <t>İzin ve ruhsatlar; sayaç/fatura kayıtları; emisyon ve atık beyanları; proje/teknik raporlar; doğrulama ve sosyal koruma belgeleri.</t>
        </is>
      </c>
      <c r="T70" s="13" t="inlineStr">
        <is>
          <t>NACE kodu eşleştirmeyi destekler; tek başına taksonomi uyumluluğunu kanıtlamaz.</t>
        </is>
      </c>
      <c r="U70" s="14" t="inlineStr">
        <is>
          <t>Türkiye Yeşil Taksonomisi Yönetmeliği, EK-1</t>
        </is>
      </c>
    </row>
    <row r="71">
      <c r="A71" s="13" t="n">
        <v>69</v>
      </c>
      <c r="B71" s="13" t="n">
        <v>6</v>
      </c>
      <c r="C71" s="13" t="inlineStr">
        <is>
          <t>Ulaştırma Faaliyetleri</t>
        </is>
      </c>
      <c r="D71" s="13" t="inlineStr">
        <is>
          <t>A-6.4; B-6.4</t>
        </is>
      </c>
      <c r="E71" s="13" t="inlineStr">
        <is>
          <t>Kişisel Mobilite Cihazlarının Kullanımı, Bisiklet Lojistiği</t>
        </is>
      </c>
      <c r="F71" s="13" t="inlineStr">
        <is>
          <t>EK-1 faaliyet başlığıdır. Ayrıntılı kapsam ve eşikler için yayımlanacak resmi teknik tarama kriterleri incelenmelidir.</t>
        </is>
      </c>
      <c r="G71" s="13" t="inlineStr"/>
      <c r="H71" s="13" t="inlineStr">
        <is>
          <t>Diğer / Genel Faaliyet</t>
        </is>
      </c>
      <c r="I71" s="13" t="inlineStr">
        <is>
          <t>Hayır</t>
        </is>
      </c>
      <c r="J71" s="13" t="inlineStr">
        <is>
          <t>Hayır</t>
        </is>
      </c>
      <c r="K71" s="13" t="inlineStr">
        <is>
          <t>Evet</t>
        </is>
      </c>
      <c r="L71" s="13" t="inlineStr">
        <is>
          <t>Evet</t>
        </is>
      </c>
      <c r="M71" s="13" t="inlineStr"/>
      <c r="N71" s="13" t="inlineStr"/>
      <c r="O71" s="13" t="inlineStr"/>
      <c r="P71" s="13" t="inlineStr"/>
      <c r="Q71" s="13" t="inlineStr">
        <is>
          <t>Yayımlanmamış / Doğrulanmalı</t>
        </is>
      </c>
      <c r="R71" s="13" t="inlineStr">
        <is>
          <t>Faaliyet hacmi; enerji, yakıt, su, atık ve sera gazı verileri; hasılat, CAPEX ve OPEX; teknik performans göstergeleri.</t>
        </is>
      </c>
      <c r="S71" s="13" t="inlineStr">
        <is>
          <t>İzin ve ruhsatlar; sayaç/fatura kayıtları; emisyon ve atık beyanları; proje/teknik raporlar; doğrulama ve sosyal koruma belgeleri.</t>
        </is>
      </c>
      <c r="T71" s="13" t="inlineStr">
        <is>
          <t>NACE kodu eşleştirmeyi destekler; tek başına taksonomi uyumluluğunu kanıtlamaz.</t>
        </is>
      </c>
      <c r="U71" s="14" t="inlineStr">
        <is>
          <t>Türkiye Yeşil Taksonomisi Yönetmeliği, EK-1</t>
        </is>
      </c>
    </row>
    <row r="72">
      <c r="A72" s="13" t="n">
        <v>70</v>
      </c>
      <c r="B72" s="13" t="n">
        <v>6</v>
      </c>
      <c r="C72" s="13" t="inlineStr">
        <is>
          <t>Ulaştırma Faaliyetleri</t>
        </is>
      </c>
      <c r="D72" s="13" t="inlineStr">
        <is>
          <t>A-6.5; B-6.5</t>
        </is>
      </c>
      <c r="E72" s="13" t="inlineStr">
        <is>
          <t>Motosikletler, Binek Otomobiller ve Hafif Ticari Araçlarla Yapılan Taşımacılık</t>
        </is>
      </c>
      <c r="F72" s="13" t="inlineStr">
        <is>
          <t>EK-1 faaliyet başlığıdır. Ayrıntılı kapsam ve eşikler için yayımlanacak resmi teknik tarama kriterleri incelenmelidir.</t>
        </is>
      </c>
      <c r="G72" s="13" t="inlineStr"/>
      <c r="H72" s="13" t="inlineStr">
        <is>
          <t>Geçiş Faaliyeti</t>
        </is>
      </c>
      <c r="I72" s="13" t="inlineStr">
        <is>
          <t>Hayır</t>
        </is>
      </c>
      <c r="J72" s="13" t="inlineStr">
        <is>
          <t>Evet</t>
        </is>
      </c>
      <c r="K72" s="13" t="inlineStr">
        <is>
          <t>Evet</t>
        </is>
      </c>
      <c r="L72" s="13" t="inlineStr">
        <is>
          <t>Evet</t>
        </is>
      </c>
      <c r="M72" s="13" t="inlineStr"/>
      <c r="N72" s="13" t="inlineStr"/>
      <c r="O72" s="13" t="inlineStr"/>
      <c r="P72" s="13" t="inlineStr"/>
      <c r="Q72" s="13" t="inlineStr">
        <is>
          <t>Yayımlanmamış / Doğrulanmalı</t>
        </is>
      </c>
      <c r="R72" s="13" t="inlineStr">
        <is>
          <t>Faaliyet hacmi; enerji, yakıt, su, atık ve sera gazı verileri; hasılat, CAPEX ve OPEX; teknik performans göstergeleri.</t>
        </is>
      </c>
      <c r="S72" s="13" t="inlineStr">
        <is>
          <t>İzin ve ruhsatlar; sayaç/fatura kayıtları; emisyon ve atık beyanları; proje/teknik raporlar; doğrulama ve sosyal koruma belgeleri.</t>
        </is>
      </c>
      <c r="T72" s="13" t="inlineStr">
        <is>
          <t>NACE kodu eşleştirmeyi destekler; tek başına taksonomi uyumluluğunu kanıtlamaz.</t>
        </is>
      </c>
      <c r="U72" s="14" t="inlineStr">
        <is>
          <t>Türkiye Yeşil Taksonomisi Yönetmeliği, EK-1</t>
        </is>
      </c>
    </row>
    <row r="73">
      <c r="A73" s="13" t="n">
        <v>71</v>
      </c>
      <c r="B73" s="13" t="n">
        <v>6</v>
      </c>
      <c r="C73" s="13" t="inlineStr">
        <is>
          <t>Ulaştırma Faaliyetleri</t>
        </is>
      </c>
      <c r="D73" s="13" t="inlineStr">
        <is>
          <t>A-6.6; B-6.6</t>
        </is>
      </c>
      <c r="E73" s="13" t="inlineStr">
        <is>
          <t>Karayolu ile Yük Taşımacılığı Hizmetleri</t>
        </is>
      </c>
      <c r="F73" s="13" t="inlineStr">
        <is>
          <t>EK-1 faaliyet başlığıdır. Ayrıntılı kapsam ve eşikler için yayımlanacak resmi teknik tarama kriterleri incelenmelidir.</t>
        </is>
      </c>
      <c r="G73" s="13" t="inlineStr"/>
      <c r="H73" s="13" t="inlineStr">
        <is>
          <t>Geçiş Faaliyeti</t>
        </is>
      </c>
      <c r="I73" s="13" t="inlineStr">
        <is>
          <t>Hayır</t>
        </is>
      </c>
      <c r="J73" s="13" t="inlineStr">
        <is>
          <t>Evet</t>
        </is>
      </c>
      <c r="K73" s="13" t="inlineStr">
        <is>
          <t>Evet</t>
        </is>
      </c>
      <c r="L73" s="13" t="inlineStr">
        <is>
          <t>Evet</t>
        </is>
      </c>
      <c r="M73" s="13" t="inlineStr"/>
      <c r="N73" s="13" t="inlineStr"/>
      <c r="O73" s="13" t="inlineStr"/>
      <c r="P73" s="13" t="inlineStr"/>
      <c r="Q73" s="13" t="inlineStr">
        <is>
          <t>Yayımlanmamış / Doğrulanmalı</t>
        </is>
      </c>
      <c r="R73" s="13" t="inlineStr">
        <is>
          <t>Faaliyet hacmi; enerji, yakıt, su, atık ve sera gazı verileri; hasılat, CAPEX ve OPEX; teknik performans göstergeleri.</t>
        </is>
      </c>
      <c r="S73" s="13" t="inlineStr">
        <is>
          <t>İzin ve ruhsatlar; sayaç/fatura kayıtları; emisyon ve atık beyanları; proje/teknik raporlar; doğrulama ve sosyal koruma belgeleri.</t>
        </is>
      </c>
      <c r="T73" s="13" t="inlineStr">
        <is>
          <t>NACE kodu eşleştirmeyi destekler; tek başına taksonomi uyumluluğunu kanıtlamaz.</t>
        </is>
      </c>
      <c r="U73" s="14" t="inlineStr">
        <is>
          <t>Türkiye Yeşil Taksonomisi Yönetmeliği, EK-1</t>
        </is>
      </c>
    </row>
    <row r="74">
      <c r="A74" s="13" t="n">
        <v>72</v>
      </c>
      <c r="B74" s="13" t="n">
        <v>6</v>
      </c>
      <c r="C74" s="13" t="inlineStr">
        <is>
          <t>Ulaştırma Faaliyetleri</t>
        </is>
      </c>
      <c r="D74" s="13" t="inlineStr">
        <is>
          <t>A-6.7; B-6.7</t>
        </is>
      </c>
      <c r="E74" s="13" t="inlineStr">
        <is>
          <t>İç Sularda Yolcu Taşımacılığı</t>
        </is>
      </c>
      <c r="F74" s="13" t="inlineStr">
        <is>
          <t>EK-1 faaliyet başlığıdır. Ayrıntılı kapsam ve eşikler için yayımlanacak resmi teknik tarama kriterleri incelenmelidir.</t>
        </is>
      </c>
      <c r="G74" s="13" t="inlineStr"/>
      <c r="H74" s="13" t="inlineStr">
        <is>
          <t>Geçiş Faaliyeti</t>
        </is>
      </c>
      <c r="I74" s="13" t="inlineStr">
        <is>
          <t>Hayır</t>
        </is>
      </c>
      <c r="J74" s="13" t="inlineStr">
        <is>
          <t>Evet</t>
        </is>
      </c>
      <c r="K74" s="13" t="inlineStr">
        <is>
          <t>Evet</t>
        </is>
      </c>
      <c r="L74" s="13" t="inlineStr">
        <is>
          <t>Evet</t>
        </is>
      </c>
      <c r="M74" s="13" t="inlineStr"/>
      <c r="N74" s="13" t="inlineStr"/>
      <c r="O74" s="13" t="inlineStr"/>
      <c r="P74" s="13" t="inlineStr"/>
      <c r="Q74" s="13" t="inlineStr">
        <is>
          <t>Yayımlanmamış / Doğrulanmalı</t>
        </is>
      </c>
      <c r="R74" s="13" t="inlineStr">
        <is>
          <t>Faaliyet hacmi; enerji, yakıt, su, atık ve sera gazı verileri; hasılat, CAPEX ve OPEX; teknik performans göstergeleri.</t>
        </is>
      </c>
      <c r="S74" s="13" t="inlineStr">
        <is>
          <t>İzin ve ruhsatlar; sayaç/fatura kayıtları; emisyon ve atık beyanları; proje/teknik raporlar; doğrulama ve sosyal koruma belgeleri.</t>
        </is>
      </c>
      <c r="T74" s="13" t="inlineStr">
        <is>
          <t>NACE kodu eşleştirmeyi destekler; tek başına taksonomi uyumluluğunu kanıtlamaz.</t>
        </is>
      </c>
      <c r="U74" s="14" t="inlineStr">
        <is>
          <t>Türkiye Yeşil Taksonomisi Yönetmeliği, EK-1</t>
        </is>
      </c>
    </row>
    <row r="75">
      <c r="A75" s="13" t="n">
        <v>73</v>
      </c>
      <c r="B75" s="13" t="n">
        <v>6</v>
      </c>
      <c r="C75" s="13" t="inlineStr">
        <is>
          <t>Ulaştırma Faaliyetleri</t>
        </is>
      </c>
      <c r="D75" s="13" t="inlineStr">
        <is>
          <t>A-6.8; B-6.8</t>
        </is>
      </c>
      <c r="E75" s="13" t="inlineStr">
        <is>
          <t>İç Sularda Yük Taşımacılığı</t>
        </is>
      </c>
      <c r="F75" s="13" t="inlineStr">
        <is>
          <t>EK-1 faaliyet başlığıdır. Ayrıntılı kapsam ve eşikler için yayımlanacak resmi teknik tarama kriterleri incelenmelidir.</t>
        </is>
      </c>
      <c r="G75" s="13" t="inlineStr"/>
      <c r="H75" s="13" t="inlineStr">
        <is>
          <t>Geçiş Faaliyeti</t>
        </is>
      </c>
      <c r="I75" s="13" t="inlineStr">
        <is>
          <t>Hayır</t>
        </is>
      </c>
      <c r="J75" s="13" t="inlineStr">
        <is>
          <t>Evet</t>
        </is>
      </c>
      <c r="K75" s="13" t="inlineStr">
        <is>
          <t>Evet</t>
        </is>
      </c>
      <c r="L75" s="13" t="inlineStr">
        <is>
          <t>Evet</t>
        </is>
      </c>
      <c r="M75" s="13" t="inlineStr"/>
      <c r="N75" s="13" t="inlineStr"/>
      <c r="O75" s="13" t="inlineStr"/>
      <c r="P75" s="13" t="inlineStr"/>
      <c r="Q75" s="13" t="inlineStr">
        <is>
          <t>Yayımlanmamış / Doğrulanmalı</t>
        </is>
      </c>
      <c r="R75" s="13" t="inlineStr">
        <is>
          <t>Faaliyet hacmi; enerji, yakıt, su, atık ve sera gazı verileri; hasılat, CAPEX ve OPEX; teknik performans göstergeleri.</t>
        </is>
      </c>
      <c r="S75" s="13" t="inlineStr">
        <is>
          <t>İzin ve ruhsatlar; sayaç/fatura kayıtları; emisyon ve atık beyanları; proje/teknik raporlar; doğrulama ve sosyal koruma belgeleri.</t>
        </is>
      </c>
      <c r="T75" s="13" t="inlineStr">
        <is>
          <t>NACE kodu eşleştirmeyi destekler; tek başına taksonomi uyumluluğunu kanıtlamaz.</t>
        </is>
      </c>
      <c r="U75" s="14" t="inlineStr">
        <is>
          <t>Türkiye Yeşil Taksonomisi Yönetmeliği, EK-1</t>
        </is>
      </c>
    </row>
    <row r="76">
      <c r="A76" s="13" t="n">
        <v>74</v>
      </c>
      <c r="B76" s="13" t="n">
        <v>6</v>
      </c>
      <c r="C76" s="13" t="inlineStr">
        <is>
          <t>Ulaştırma Faaliyetleri</t>
        </is>
      </c>
      <c r="D76" s="13" t="inlineStr">
        <is>
          <t>A-6.9; B-6.9</t>
        </is>
      </c>
      <c r="E76" s="13" t="inlineStr">
        <is>
          <t>İç Sularda Yolcu ve Yük Taşımacılığı Yapan Araçların Güçlendirilmesi</t>
        </is>
      </c>
      <c r="F76" s="13" t="inlineStr">
        <is>
          <t>EK-1 faaliyet başlığıdır. Ayrıntılı kapsam ve eşikler için yayımlanacak resmi teknik tarama kriterleri incelenmelidir.</t>
        </is>
      </c>
      <c r="G76" s="13" t="inlineStr"/>
      <c r="H76" s="13" t="inlineStr">
        <is>
          <t>Geçiş Faaliyeti</t>
        </is>
      </c>
      <c r="I76" s="13" t="inlineStr">
        <is>
          <t>Hayır</t>
        </is>
      </c>
      <c r="J76" s="13" t="inlineStr">
        <is>
          <t>Evet</t>
        </is>
      </c>
      <c r="K76" s="13" t="inlineStr">
        <is>
          <t>Evet</t>
        </is>
      </c>
      <c r="L76" s="13" t="inlineStr">
        <is>
          <t>Evet</t>
        </is>
      </c>
      <c r="M76" s="13" t="inlineStr"/>
      <c r="N76" s="13" t="inlineStr"/>
      <c r="O76" s="13" t="inlineStr"/>
      <c r="P76" s="13" t="inlineStr"/>
      <c r="Q76" s="13" t="inlineStr">
        <is>
          <t>Yayımlanmamış / Doğrulanmalı</t>
        </is>
      </c>
      <c r="R76" s="13" t="inlineStr">
        <is>
          <t>Faaliyet hacmi; enerji, yakıt, su, atık ve sera gazı verileri; hasılat, CAPEX ve OPEX; teknik performans göstergeleri.</t>
        </is>
      </c>
      <c r="S76" s="13" t="inlineStr">
        <is>
          <t>İzin ve ruhsatlar; sayaç/fatura kayıtları; emisyon ve atık beyanları; proje/teknik raporlar; doğrulama ve sosyal koruma belgeleri.</t>
        </is>
      </c>
      <c r="T76" s="13" t="inlineStr">
        <is>
          <t>NACE kodu eşleştirmeyi destekler; tek başına taksonomi uyumluluğunu kanıtlamaz.</t>
        </is>
      </c>
      <c r="U76" s="14" t="inlineStr">
        <is>
          <t>Türkiye Yeşil Taksonomisi Yönetmeliği, EK-1</t>
        </is>
      </c>
    </row>
    <row r="77">
      <c r="A77" s="13" t="n">
        <v>75</v>
      </c>
      <c r="B77" s="13" t="n">
        <v>6</v>
      </c>
      <c r="C77" s="13" t="inlineStr">
        <is>
          <t>Ulaştırma Faaliyetleri</t>
        </is>
      </c>
      <c r="D77" s="13" t="inlineStr">
        <is>
          <t>A-6.10; B-6.10</t>
        </is>
      </c>
      <c r="E77" s="13" t="inlineStr">
        <is>
          <t>Deniz ve Kıyı Yük Taşımacılığı, Liman Operasyonları ve Yardımcı Faaliyetlerde Kullanılan Gemiler</t>
        </is>
      </c>
      <c r="F77" s="13" t="inlineStr">
        <is>
          <t>EK-1 faaliyet başlığıdır. Ayrıntılı kapsam ve eşikler için yayımlanacak resmi teknik tarama kriterleri incelenmelidir.</t>
        </is>
      </c>
      <c r="G77" s="13" t="inlineStr"/>
      <c r="H77" s="13" t="inlineStr">
        <is>
          <t>Geçiş Faaliyeti</t>
        </is>
      </c>
      <c r="I77" s="13" t="inlineStr">
        <is>
          <t>Hayır</t>
        </is>
      </c>
      <c r="J77" s="13" t="inlineStr">
        <is>
          <t>Evet</t>
        </is>
      </c>
      <c r="K77" s="13" t="inlineStr">
        <is>
          <t>Evet</t>
        </is>
      </c>
      <c r="L77" s="13" t="inlineStr">
        <is>
          <t>Evet</t>
        </is>
      </c>
      <c r="M77" s="13" t="inlineStr"/>
      <c r="N77" s="13" t="inlineStr"/>
      <c r="O77" s="13" t="inlineStr"/>
      <c r="P77" s="13" t="inlineStr"/>
      <c r="Q77" s="13" t="inlineStr">
        <is>
          <t>Yayımlanmamış / Doğrulanmalı</t>
        </is>
      </c>
      <c r="R77" s="13" t="inlineStr">
        <is>
          <t>Faaliyet hacmi; enerji, yakıt, su, atık ve sera gazı verileri; hasılat, CAPEX ve OPEX; teknik performans göstergeleri.</t>
        </is>
      </c>
      <c r="S77" s="13" t="inlineStr">
        <is>
          <t>İzin ve ruhsatlar; sayaç/fatura kayıtları; emisyon ve atık beyanları; proje/teknik raporlar; doğrulama ve sosyal koruma belgeleri.</t>
        </is>
      </c>
      <c r="T77" s="13" t="inlineStr">
        <is>
          <t>NACE kodu eşleştirmeyi destekler; tek başına taksonomi uyumluluğunu kanıtlamaz.</t>
        </is>
      </c>
      <c r="U77" s="14" t="inlineStr">
        <is>
          <t>Türkiye Yeşil Taksonomisi Yönetmeliği, EK-1</t>
        </is>
      </c>
    </row>
    <row r="78">
      <c r="A78" s="13" t="n">
        <v>76</v>
      </c>
      <c r="B78" s="13" t="n">
        <v>6</v>
      </c>
      <c r="C78" s="13" t="inlineStr">
        <is>
          <t>Ulaştırma Faaliyetleri</t>
        </is>
      </c>
      <c r="D78" s="13" t="inlineStr">
        <is>
          <t>A-6.11; B-6.11</t>
        </is>
      </c>
      <c r="E78" s="13" t="inlineStr">
        <is>
          <t>Deniz ve Kıyılarda Yolcu Taşımacılığı</t>
        </is>
      </c>
      <c r="F78" s="13" t="inlineStr">
        <is>
          <t>EK-1 faaliyet başlığıdır. Ayrıntılı kapsam ve eşikler için yayımlanacak resmi teknik tarama kriterleri incelenmelidir.</t>
        </is>
      </c>
      <c r="G78" s="13" t="inlineStr"/>
      <c r="H78" s="13" t="inlineStr">
        <is>
          <t>Geçiş Faaliyeti</t>
        </is>
      </c>
      <c r="I78" s="13" t="inlineStr">
        <is>
          <t>Hayır</t>
        </is>
      </c>
      <c r="J78" s="13" t="inlineStr">
        <is>
          <t>Evet</t>
        </is>
      </c>
      <c r="K78" s="13" t="inlineStr">
        <is>
          <t>Evet</t>
        </is>
      </c>
      <c r="L78" s="13" t="inlineStr">
        <is>
          <t>Evet</t>
        </is>
      </c>
      <c r="M78" s="13" t="inlineStr"/>
      <c r="N78" s="13" t="inlineStr"/>
      <c r="O78" s="13" t="inlineStr"/>
      <c r="P78" s="13" t="inlineStr"/>
      <c r="Q78" s="13" t="inlineStr">
        <is>
          <t>Yayımlanmamış / Doğrulanmalı</t>
        </is>
      </c>
      <c r="R78" s="13" t="inlineStr">
        <is>
          <t>Faaliyet hacmi; enerji, yakıt, su, atık ve sera gazı verileri; hasılat, CAPEX ve OPEX; teknik performans göstergeleri.</t>
        </is>
      </c>
      <c r="S78" s="13" t="inlineStr">
        <is>
          <t>İzin ve ruhsatlar; sayaç/fatura kayıtları; emisyon ve atık beyanları; proje/teknik raporlar; doğrulama ve sosyal koruma belgeleri.</t>
        </is>
      </c>
      <c r="T78" s="13" t="inlineStr">
        <is>
          <t>NACE kodu eşleştirmeyi destekler; tek başına taksonomi uyumluluğunu kanıtlamaz.</t>
        </is>
      </c>
      <c r="U78" s="14" t="inlineStr">
        <is>
          <t>Türkiye Yeşil Taksonomisi Yönetmeliği, EK-1</t>
        </is>
      </c>
    </row>
    <row r="79">
      <c r="A79" s="13" t="n">
        <v>77</v>
      </c>
      <c r="B79" s="13" t="n">
        <v>6</v>
      </c>
      <c r="C79" s="13" t="inlineStr">
        <is>
          <t>Ulaştırma Faaliyetleri</t>
        </is>
      </c>
      <c r="D79" s="13" t="inlineStr">
        <is>
          <t>A-6.12; B-6.12</t>
        </is>
      </c>
      <c r="E79" s="13" t="inlineStr">
        <is>
          <t>Deniz ve Kıyılarda Yük ve Yolcu Taşımacılığı Araçlarının Güçlendirilmesi</t>
        </is>
      </c>
      <c r="F79" s="13" t="inlineStr">
        <is>
          <t>EK-1 faaliyet başlığıdır. Ayrıntılı kapsam ve eşikler için yayımlanacak resmi teknik tarama kriterleri incelenmelidir.</t>
        </is>
      </c>
      <c r="G79" s="13" t="inlineStr"/>
      <c r="H79" s="13" t="inlineStr">
        <is>
          <t>Geçiş Faaliyeti</t>
        </is>
      </c>
      <c r="I79" s="13" t="inlineStr">
        <is>
          <t>Hayır</t>
        </is>
      </c>
      <c r="J79" s="13" t="inlineStr">
        <is>
          <t>Evet</t>
        </is>
      </c>
      <c r="K79" s="13" t="inlineStr">
        <is>
          <t>Evet</t>
        </is>
      </c>
      <c r="L79" s="13" t="inlineStr">
        <is>
          <t>Evet</t>
        </is>
      </c>
      <c r="M79" s="13" t="inlineStr"/>
      <c r="N79" s="13" t="inlineStr"/>
      <c r="O79" s="13" t="inlineStr"/>
      <c r="P79" s="13" t="inlineStr"/>
      <c r="Q79" s="13" t="inlineStr">
        <is>
          <t>Yayımlanmamış / Doğrulanmalı</t>
        </is>
      </c>
      <c r="R79" s="13" t="inlineStr">
        <is>
          <t>Faaliyet hacmi; enerji, yakıt, su, atık ve sera gazı verileri; hasılat, CAPEX ve OPEX; teknik performans göstergeleri.</t>
        </is>
      </c>
      <c r="S79" s="13" t="inlineStr">
        <is>
          <t>İzin ve ruhsatlar; sayaç/fatura kayıtları; emisyon ve atık beyanları; proje/teknik raporlar; doğrulama ve sosyal koruma belgeleri.</t>
        </is>
      </c>
      <c r="T79" s="13" t="inlineStr">
        <is>
          <t>NACE kodu eşleştirmeyi destekler; tek başına taksonomi uyumluluğunu kanıtlamaz.</t>
        </is>
      </c>
      <c r="U79" s="14" t="inlineStr">
        <is>
          <t>Türkiye Yeşil Taksonomisi Yönetmeliği, EK-1</t>
        </is>
      </c>
    </row>
    <row r="80">
      <c r="A80" s="13" t="n">
        <v>78</v>
      </c>
      <c r="B80" s="13" t="n">
        <v>6</v>
      </c>
      <c r="C80" s="13" t="inlineStr">
        <is>
          <t>Ulaştırma Faaliyetleri</t>
        </is>
      </c>
      <c r="D80" s="13" t="inlineStr">
        <is>
          <t>A-6.13; B-6.13</t>
        </is>
      </c>
      <c r="E80" s="13" t="inlineStr">
        <is>
          <t>Kişisel Hareketlilik İçin Altyapı, Bisiklet Lojistiği</t>
        </is>
      </c>
      <c r="F80" s="13" t="inlineStr">
        <is>
          <t>EK-1 faaliyet başlığıdır. Ayrıntılı kapsam ve eşikler için yayımlanacak resmi teknik tarama kriterleri incelenmelidir.</t>
        </is>
      </c>
      <c r="G80" s="13" t="inlineStr"/>
      <c r="H80" s="13" t="inlineStr">
        <is>
          <t>Kolaylaştırıcı Faaliyet</t>
        </is>
      </c>
      <c r="I80" s="13" t="inlineStr">
        <is>
          <t>Evet</t>
        </is>
      </c>
      <c r="J80" s="13" t="inlineStr">
        <is>
          <t>Hayır</t>
        </is>
      </c>
      <c r="K80" s="13" t="inlineStr">
        <is>
          <t>Evet</t>
        </is>
      </c>
      <c r="L80" s="13" t="inlineStr">
        <is>
          <t>Evet</t>
        </is>
      </c>
      <c r="M80" s="13" t="inlineStr"/>
      <c r="N80" s="13" t="inlineStr"/>
      <c r="O80" s="13" t="inlineStr"/>
      <c r="P80" s="13" t="inlineStr"/>
      <c r="Q80" s="13" t="inlineStr">
        <is>
          <t>Yayımlanmamış / Doğrulanmalı</t>
        </is>
      </c>
      <c r="R80" s="13" t="inlineStr">
        <is>
          <t>Faaliyet hacmi; enerji, yakıt, su, atık ve sera gazı verileri; hasılat, CAPEX ve OPEX; teknik performans göstergeleri.</t>
        </is>
      </c>
      <c r="S80" s="13" t="inlineStr">
        <is>
          <t>İzin ve ruhsatlar; sayaç/fatura kayıtları; emisyon ve atık beyanları; proje/teknik raporlar; doğrulama ve sosyal koruma belgeleri.</t>
        </is>
      </c>
      <c r="T80" s="13" t="inlineStr">
        <is>
          <t>NACE kodu eşleştirmeyi destekler; tek başına taksonomi uyumluluğunu kanıtlamaz.</t>
        </is>
      </c>
      <c r="U80" s="14" t="inlineStr">
        <is>
          <t>Türkiye Yeşil Taksonomisi Yönetmeliği, EK-1</t>
        </is>
      </c>
    </row>
    <row r="81">
      <c r="A81" s="13" t="n">
        <v>79</v>
      </c>
      <c r="B81" s="13" t="n">
        <v>6</v>
      </c>
      <c r="C81" s="13" t="inlineStr">
        <is>
          <t>Ulaştırma Faaliyetleri</t>
        </is>
      </c>
      <c r="D81" s="13" t="inlineStr">
        <is>
          <t>A-6.14; B-6.14</t>
        </is>
      </c>
      <c r="E81" s="13" t="inlineStr">
        <is>
          <t>Demiryolu Taşımacılığı Altyapısı</t>
        </is>
      </c>
      <c r="F81" s="13" t="inlineStr">
        <is>
          <t>EK-1 faaliyet başlığıdır. Ayrıntılı kapsam ve eşikler için yayımlanacak resmi teknik tarama kriterleri incelenmelidir.</t>
        </is>
      </c>
      <c r="G81" s="13" t="inlineStr"/>
      <c r="H81" s="13" t="inlineStr">
        <is>
          <t>Kolaylaştırıcı Faaliyet</t>
        </is>
      </c>
      <c r="I81" s="13" t="inlineStr">
        <is>
          <t>Evet</t>
        </is>
      </c>
      <c r="J81" s="13" t="inlineStr">
        <is>
          <t>Hayır</t>
        </is>
      </c>
      <c r="K81" s="13" t="inlineStr">
        <is>
          <t>Evet</t>
        </is>
      </c>
      <c r="L81" s="13" t="inlineStr">
        <is>
          <t>Evet</t>
        </is>
      </c>
      <c r="M81" s="13" t="inlineStr"/>
      <c r="N81" s="13" t="inlineStr"/>
      <c r="O81" s="13" t="inlineStr"/>
      <c r="P81" s="13" t="inlineStr"/>
      <c r="Q81" s="13" t="inlineStr">
        <is>
          <t>Yayımlanmamış / Doğrulanmalı</t>
        </is>
      </c>
      <c r="R81" s="13" t="inlineStr">
        <is>
          <t>Faaliyet hacmi; enerji, yakıt, su, atık ve sera gazı verileri; hasılat, CAPEX ve OPEX; teknik performans göstergeleri.</t>
        </is>
      </c>
      <c r="S81" s="13" t="inlineStr">
        <is>
          <t>İzin ve ruhsatlar; sayaç/fatura kayıtları; emisyon ve atık beyanları; proje/teknik raporlar; doğrulama ve sosyal koruma belgeleri.</t>
        </is>
      </c>
      <c r="T81" s="13" t="inlineStr">
        <is>
          <t>NACE kodu eşleştirmeyi destekler; tek başına taksonomi uyumluluğunu kanıtlamaz.</t>
        </is>
      </c>
      <c r="U81" s="14" t="inlineStr">
        <is>
          <t>Türkiye Yeşil Taksonomisi Yönetmeliği, EK-1</t>
        </is>
      </c>
    </row>
    <row r="82">
      <c r="A82" s="13" t="n">
        <v>80</v>
      </c>
      <c r="B82" s="13" t="n">
        <v>6</v>
      </c>
      <c r="C82" s="13" t="inlineStr">
        <is>
          <t>Ulaştırma Faaliyetleri</t>
        </is>
      </c>
      <c r="D82" s="13" t="inlineStr">
        <is>
          <t>A-6.15</t>
        </is>
      </c>
      <c r="E82" s="13" t="inlineStr">
        <is>
          <t>Düşük Karbonlu Karayolu Taşımacılığı ve Toplu Taşımaya Olanak Sağlayan Altyapı</t>
        </is>
      </c>
      <c r="F82" s="13" t="inlineStr">
        <is>
          <t>EK-1 faaliyet başlığıdır. Ayrıntılı kapsam ve eşikler için yayımlanacak resmi teknik tarama kriterleri incelenmelidir.</t>
        </is>
      </c>
      <c r="G82" s="13" t="inlineStr"/>
      <c r="H82" s="13" t="inlineStr">
        <is>
          <t>Kolaylaştırıcı Faaliyet</t>
        </is>
      </c>
      <c r="I82" s="13" t="inlineStr">
        <is>
          <t>Evet</t>
        </is>
      </c>
      <c r="J82" s="13" t="inlineStr">
        <is>
          <t>Hayır</t>
        </is>
      </c>
      <c r="K82" s="13" t="inlineStr">
        <is>
          <t>Evet</t>
        </is>
      </c>
      <c r="L82" s="13" t="inlineStr"/>
      <c r="M82" s="13" t="inlineStr"/>
      <c r="N82" s="13" t="inlineStr"/>
      <c r="O82" s="13" t="inlineStr"/>
      <c r="P82" s="13" t="inlineStr"/>
      <c r="Q82" s="13" t="inlineStr">
        <is>
          <t>Yayımlanmamış / Doğrulanmalı</t>
        </is>
      </c>
      <c r="R82" s="13" t="inlineStr">
        <is>
          <t>Faaliyet hacmi; enerji, yakıt, su, atık ve sera gazı verileri; hasılat, CAPEX ve OPEX; teknik performans göstergeleri.</t>
        </is>
      </c>
      <c r="S82" s="13" t="inlineStr">
        <is>
          <t>İzin ve ruhsatlar; sayaç/fatura kayıtları; emisyon ve atık beyanları; proje/teknik raporlar; doğrulama ve sosyal koruma belgeleri.</t>
        </is>
      </c>
      <c r="T82" s="13" t="inlineStr">
        <is>
          <t>NACE kodu eşleştirmeyi destekler; tek başına taksonomi uyumluluğunu kanıtlamaz.</t>
        </is>
      </c>
      <c r="U82" s="14" t="inlineStr">
        <is>
          <t>Türkiye Yeşil Taksonomisi Yönetmeliği, EK-1</t>
        </is>
      </c>
    </row>
    <row r="83">
      <c r="A83" s="13" t="n">
        <v>81</v>
      </c>
      <c r="B83" s="13" t="n">
        <v>6</v>
      </c>
      <c r="C83" s="13" t="inlineStr">
        <is>
          <t>Ulaştırma Faaliyetleri</t>
        </is>
      </c>
      <c r="D83" s="13" t="inlineStr">
        <is>
          <t>A-6.16</t>
        </is>
      </c>
      <c r="E83" s="13" t="inlineStr">
        <is>
          <t>Düşük Karbonlu Su Taşımacılığına Olanak Sağlayan Altyapı</t>
        </is>
      </c>
      <c r="F83" s="13" t="inlineStr">
        <is>
          <t>EK-1 faaliyet başlığıdır. Ayrıntılı kapsam ve eşikler için yayımlanacak resmi teknik tarama kriterleri incelenmelidir.</t>
        </is>
      </c>
      <c r="G83" s="13" t="inlineStr"/>
      <c r="H83" s="13" t="inlineStr">
        <is>
          <t>Kolaylaştırıcı Faaliyet</t>
        </is>
      </c>
      <c r="I83" s="13" t="inlineStr">
        <is>
          <t>Evet</t>
        </is>
      </c>
      <c r="J83" s="13" t="inlineStr">
        <is>
          <t>Hayır</t>
        </is>
      </c>
      <c r="K83" s="13" t="inlineStr">
        <is>
          <t>Evet</t>
        </is>
      </c>
      <c r="L83" s="13" t="inlineStr"/>
      <c r="M83" s="13" t="inlineStr"/>
      <c r="N83" s="13" t="inlineStr"/>
      <c r="O83" s="13" t="inlineStr"/>
      <c r="P83" s="13" t="inlineStr"/>
      <c r="Q83" s="13" t="inlineStr">
        <is>
          <t>Yayımlanmamış / Doğrulanmalı</t>
        </is>
      </c>
      <c r="R83" s="13" t="inlineStr">
        <is>
          <t>Faaliyet hacmi; enerji, yakıt, su, atık ve sera gazı verileri; hasılat, CAPEX ve OPEX; teknik performans göstergeleri.</t>
        </is>
      </c>
      <c r="S83" s="13" t="inlineStr">
        <is>
          <t>İzin ve ruhsatlar; sayaç/fatura kayıtları; emisyon ve atık beyanları; proje/teknik raporlar; doğrulama ve sosyal koruma belgeleri.</t>
        </is>
      </c>
      <c r="T83" s="13" t="inlineStr">
        <is>
          <t>NACE kodu eşleştirmeyi destekler; tek başına taksonomi uyumluluğunu kanıtlamaz.</t>
        </is>
      </c>
      <c r="U83" s="14" t="inlineStr">
        <is>
          <t>Türkiye Yeşil Taksonomisi Yönetmeliği, EK-1</t>
        </is>
      </c>
    </row>
    <row r="84">
      <c r="A84" s="13" t="n">
        <v>82</v>
      </c>
      <c r="B84" s="13" t="n">
        <v>6</v>
      </c>
      <c r="C84" s="13" t="inlineStr">
        <is>
          <t>Ulaştırma Faaliyetleri</t>
        </is>
      </c>
      <c r="D84" s="13" t="inlineStr">
        <is>
          <t>A-6.17</t>
        </is>
      </c>
      <c r="E84" s="13" t="inlineStr">
        <is>
          <t>Düşük Karbonlu Havalimanı Altyapısı</t>
        </is>
      </c>
      <c r="F84" s="13" t="inlineStr">
        <is>
          <t>EK-1 faaliyet başlığıdır. Ayrıntılı kapsam ve eşikler için yayımlanacak resmi teknik tarama kriterleri incelenmelidir.</t>
        </is>
      </c>
      <c r="G84" s="13" t="inlineStr"/>
      <c r="H84" s="13" t="inlineStr">
        <is>
          <t>Kolaylaştırıcı Faaliyet</t>
        </is>
      </c>
      <c r="I84" s="13" t="inlineStr">
        <is>
          <t>Evet</t>
        </is>
      </c>
      <c r="J84" s="13" t="inlineStr">
        <is>
          <t>Hayır</t>
        </is>
      </c>
      <c r="K84" s="13" t="inlineStr">
        <is>
          <t>Evet</t>
        </is>
      </c>
      <c r="L84" s="13" t="inlineStr"/>
      <c r="M84" s="13" t="inlineStr"/>
      <c r="N84" s="13" t="inlineStr"/>
      <c r="O84" s="13" t="inlineStr"/>
      <c r="P84" s="13" t="inlineStr"/>
      <c r="Q84" s="13" t="inlineStr">
        <is>
          <t>Yayımlanmamış / Doğrulanmalı</t>
        </is>
      </c>
      <c r="R84" s="13" t="inlineStr">
        <is>
          <t>Faaliyet hacmi; enerji, yakıt, su, atık ve sera gazı verileri; hasılat, CAPEX ve OPEX; teknik performans göstergeleri.</t>
        </is>
      </c>
      <c r="S84" s="13" t="inlineStr">
        <is>
          <t>İzin ve ruhsatlar; sayaç/fatura kayıtları; emisyon ve atık beyanları; proje/teknik raporlar; doğrulama ve sosyal koruma belgeleri.</t>
        </is>
      </c>
      <c r="T84" s="13" t="inlineStr">
        <is>
          <t>NACE kodu eşleştirmeyi destekler; tek başına taksonomi uyumluluğunu kanıtlamaz.</t>
        </is>
      </c>
      <c r="U84" s="14" t="inlineStr">
        <is>
          <t>Türkiye Yeşil Taksonomisi Yönetmeliği, EK-1</t>
        </is>
      </c>
    </row>
    <row r="85">
      <c r="A85" s="13" t="n">
        <v>83</v>
      </c>
      <c r="B85" s="13" t="n">
        <v>7</v>
      </c>
      <c r="C85" s="13" t="inlineStr">
        <is>
          <t>İnşaat ve Emlak Faaliyetleri</t>
        </is>
      </c>
      <c r="D85" s="13" t="inlineStr">
        <is>
          <t>A-7.1; B-7.1; Ç-3.1</t>
        </is>
      </c>
      <c r="E85" s="13" t="inlineStr">
        <is>
          <t>Yeni Binaların İnşası</t>
        </is>
      </c>
      <c r="F85" s="13" t="inlineStr">
        <is>
          <t>EK-1 faaliyet başlığıdır. Ayrıntılı kapsam ve eşikler için yayımlanacak resmi teknik tarama kriterleri incelenmelidir.</t>
        </is>
      </c>
      <c r="G85" s="13" t="inlineStr"/>
      <c r="H85" s="13" t="inlineStr">
        <is>
          <t>Diğer / Genel Faaliyet</t>
        </is>
      </c>
      <c r="I85" s="13" t="inlineStr">
        <is>
          <t>Hayır</t>
        </is>
      </c>
      <c r="J85" s="13" t="inlineStr">
        <is>
          <t>Hayır</t>
        </is>
      </c>
      <c r="K85" s="13" t="inlineStr">
        <is>
          <t>Evet</t>
        </is>
      </c>
      <c r="L85" s="13" t="inlineStr">
        <is>
          <t>Evet</t>
        </is>
      </c>
      <c r="M85" s="13" t="inlineStr"/>
      <c r="N85" s="13" t="inlineStr">
        <is>
          <t>Evet</t>
        </is>
      </c>
      <c r="O85" s="13" t="inlineStr"/>
      <c r="P85" s="13" t="inlineStr"/>
      <c r="Q85" s="13" t="inlineStr">
        <is>
          <t>Yayımlanmamış / Doğrulanmalı</t>
        </is>
      </c>
      <c r="R85" s="13" t="inlineStr">
        <is>
          <t>Faaliyet hacmi; enerji, yakıt, su, atık ve sera gazı verileri; hasılat, CAPEX ve OPEX; teknik performans göstergeleri.</t>
        </is>
      </c>
      <c r="S85" s="13" t="inlineStr">
        <is>
          <t>İzin ve ruhsatlar; sayaç/fatura kayıtları; emisyon ve atık beyanları; proje/teknik raporlar; doğrulama ve sosyal koruma belgeleri.</t>
        </is>
      </c>
      <c r="T85" s="13" t="inlineStr">
        <is>
          <t>NACE kodu eşleştirmeyi destekler; tek başına taksonomi uyumluluğunu kanıtlamaz.</t>
        </is>
      </c>
      <c r="U85" s="14" t="inlineStr">
        <is>
          <t>Türkiye Yeşil Taksonomisi Yönetmeliği, EK-1</t>
        </is>
      </c>
    </row>
    <row r="86">
      <c r="A86" s="13" t="n">
        <v>84</v>
      </c>
      <c r="B86" s="13" t="n">
        <v>7</v>
      </c>
      <c r="C86" s="13" t="inlineStr">
        <is>
          <t>İnşaat ve Emlak Faaliyetleri</t>
        </is>
      </c>
      <c r="D86" s="13" t="inlineStr">
        <is>
          <t>A-7.2; B-7.2; Ç-3.2</t>
        </is>
      </c>
      <c r="E86" s="13" t="inlineStr">
        <is>
          <t>Mevcut Binaların Yenilenmesi</t>
        </is>
      </c>
      <c r="F86" s="13" t="inlineStr">
        <is>
          <t>EK-1 faaliyet başlığıdır. Ayrıntılı kapsam ve eşikler için yayımlanacak resmi teknik tarama kriterleri incelenmelidir.</t>
        </is>
      </c>
      <c r="G86" s="13" t="inlineStr"/>
      <c r="H86" s="13" t="inlineStr">
        <is>
          <t>Geçiş Faaliyeti</t>
        </is>
      </c>
      <c r="I86" s="13" t="inlineStr">
        <is>
          <t>Hayır</t>
        </is>
      </c>
      <c r="J86" s="13" t="inlineStr">
        <is>
          <t>Evet</t>
        </is>
      </c>
      <c r="K86" s="13" t="inlineStr">
        <is>
          <t>Evet</t>
        </is>
      </c>
      <c r="L86" s="13" t="inlineStr">
        <is>
          <t>Evet</t>
        </is>
      </c>
      <c r="M86" s="13" t="inlineStr"/>
      <c r="N86" s="13" t="inlineStr">
        <is>
          <t>Evet</t>
        </is>
      </c>
      <c r="O86" s="13" t="inlineStr"/>
      <c r="P86" s="13" t="inlineStr"/>
      <c r="Q86" s="13" t="inlineStr">
        <is>
          <t>Yayımlanmamış / Doğrulanmalı</t>
        </is>
      </c>
      <c r="R86" s="13" t="inlineStr">
        <is>
          <t>Faaliyet hacmi; enerji, yakıt, su, atık ve sera gazı verileri; hasılat, CAPEX ve OPEX; teknik performans göstergeleri.</t>
        </is>
      </c>
      <c r="S86" s="13" t="inlineStr">
        <is>
          <t>İzin ve ruhsatlar; sayaç/fatura kayıtları; emisyon ve atık beyanları; proje/teknik raporlar; doğrulama ve sosyal koruma belgeleri.</t>
        </is>
      </c>
      <c r="T86" s="13" t="inlineStr">
        <is>
          <t>NACE kodu eşleştirmeyi destekler; tek başına taksonomi uyumluluğunu kanıtlamaz.</t>
        </is>
      </c>
      <c r="U86" s="14" t="inlineStr">
        <is>
          <t>Türkiye Yeşil Taksonomisi Yönetmeliği, EK-1</t>
        </is>
      </c>
    </row>
    <row r="87">
      <c r="A87" s="13" t="n">
        <v>85</v>
      </c>
      <c r="B87" s="13" t="n">
        <v>7</v>
      </c>
      <c r="C87" s="13" t="inlineStr">
        <is>
          <t>İnşaat ve Emlak Faaliyetleri</t>
        </is>
      </c>
      <c r="D87" s="13" t="inlineStr">
        <is>
          <t>A-7.3; B-7.3</t>
        </is>
      </c>
      <c r="E87" s="13" t="inlineStr">
        <is>
          <t>Enerji Verimliliği Ekipmanlarının Kurulumu, Bakımı ve Onarımı</t>
        </is>
      </c>
      <c r="F87" s="13" t="inlineStr">
        <is>
          <t>EK-1 faaliyet başlığıdır. Ayrıntılı kapsam ve eşikler için yayımlanacak resmi teknik tarama kriterleri incelenmelidir.</t>
        </is>
      </c>
      <c r="G87" s="13" t="inlineStr"/>
      <c r="H87" s="13" t="inlineStr">
        <is>
          <t>Kolaylaştırıcı Faaliyet</t>
        </is>
      </c>
      <c r="I87" s="13" t="inlineStr">
        <is>
          <t>Evet</t>
        </is>
      </c>
      <c r="J87" s="13" t="inlineStr">
        <is>
          <t>Hayır</t>
        </is>
      </c>
      <c r="K87" s="13" t="inlineStr">
        <is>
          <t>Evet</t>
        </is>
      </c>
      <c r="L87" s="13" t="inlineStr">
        <is>
          <t>Evet</t>
        </is>
      </c>
      <c r="M87" s="13" t="inlineStr"/>
      <c r="N87" s="13" t="inlineStr"/>
      <c r="O87" s="13" t="inlineStr"/>
      <c r="P87" s="13" t="inlineStr"/>
      <c r="Q87" s="13" t="inlineStr">
        <is>
          <t>Yayımlanmamış / Doğrulanmalı</t>
        </is>
      </c>
      <c r="R87" s="13" t="inlineStr">
        <is>
          <t>Faaliyet hacmi; enerji, yakıt, su, atık ve sera gazı verileri; hasılat, CAPEX ve OPEX; teknik performans göstergeleri.</t>
        </is>
      </c>
      <c r="S87" s="13" t="inlineStr">
        <is>
          <t>İzin ve ruhsatlar; sayaç/fatura kayıtları; emisyon ve atık beyanları; proje/teknik raporlar; doğrulama ve sosyal koruma belgeleri.</t>
        </is>
      </c>
      <c r="T87" s="13" t="inlineStr">
        <is>
          <t>NACE kodu eşleştirmeyi destekler; tek başına taksonomi uyumluluğunu kanıtlamaz.</t>
        </is>
      </c>
      <c r="U87" s="14" t="inlineStr">
        <is>
          <t>Türkiye Yeşil Taksonomisi Yönetmeliği, EK-1</t>
        </is>
      </c>
    </row>
    <row r="88">
      <c r="A88" s="13" t="n">
        <v>86</v>
      </c>
      <c r="B88" s="13" t="n">
        <v>7</v>
      </c>
      <c r="C88" s="13" t="inlineStr">
        <is>
          <t>İnşaat ve Emlak Faaliyetleri</t>
        </is>
      </c>
      <c r="D88" s="13" t="inlineStr">
        <is>
          <t>A-7.4; B-7.4</t>
        </is>
      </c>
      <c r="E88" s="13" t="inlineStr">
        <is>
          <t>Binalarda ve Binalara Bağlı Park Yerlerinde Elektrikli Araçlar İçin Şarj İstasyonlarının Kurulumu, Bakımı ve Onarımı</t>
        </is>
      </c>
      <c r="F88" s="13" t="inlineStr">
        <is>
          <t>EK-1 faaliyet başlığıdır. Ayrıntılı kapsam ve eşikler için yayımlanacak resmi teknik tarama kriterleri incelenmelidir.</t>
        </is>
      </c>
      <c r="G88" s="13" t="inlineStr"/>
      <c r="H88" s="13" t="inlineStr">
        <is>
          <t>Kolaylaştırıcı Faaliyet</t>
        </is>
      </c>
      <c r="I88" s="13" t="inlineStr">
        <is>
          <t>Evet</t>
        </is>
      </c>
      <c r="J88" s="13" t="inlineStr">
        <is>
          <t>Hayır</t>
        </is>
      </c>
      <c r="K88" s="13" t="inlineStr">
        <is>
          <t>Evet</t>
        </is>
      </c>
      <c r="L88" s="13" t="inlineStr">
        <is>
          <t>Evet</t>
        </is>
      </c>
      <c r="M88" s="13" t="inlineStr"/>
      <c r="N88" s="13" t="inlineStr"/>
      <c r="O88" s="13" t="inlineStr"/>
      <c r="P88" s="13" t="inlineStr"/>
      <c r="Q88" s="13" t="inlineStr">
        <is>
          <t>Yayımlanmamış / Doğrulanmalı</t>
        </is>
      </c>
      <c r="R88" s="13" t="inlineStr">
        <is>
          <t>Faaliyet hacmi; enerji, yakıt, su, atık ve sera gazı verileri; hasılat, CAPEX ve OPEX; teknik performans göstergeleri.</t>
        </is>
      </c>
      <c r="S88" s="13" t="inlineStr">
        <is>
          <t>İzin ve ruhsatlar; sayaç/fatura kayıtları; emisyon ve atık beyanları; proje/teknik raporlar; doğrulama ve sosyal koruma belgeleri.</t>
        </is>
      </c>
      <c r="T88" s="13" t="inlineStr">
        <is>
          <t>NACE kodu eşleştirmeyi destekler; tek başına taksonomi uyumluluğunu kanıtlamaz.</t>
        </is>
      </c>
      <c r="U88" s="14" t="inlineStr">
        <is>
          <t>Türkiye Yeşil Taksonomisi Yönetmeliği, EK-1</t>
        </is>
      </c>
    </row>
    <row r="89">
      <c r="A89" s="13" t="n">
        <v>87</v>
      </c>
      <c r="B89" s="13" t="n">
        <v>7</v>
      </c>
      <c r="C89" s="13" t="inlineStr">
        <is>
          <t>İnşaat ve Emlak Faaliyetleri</t>
        </is>
      </c>
      <c r="D89" s="13" t="inlineStr">
        <is>
          <t>A-7.5; B-7.5</t>
        </is>
      </c>
      <c r="E89" s="13" t="inlineStr">
        <is>
          <t>Binaların Enerji Performansını Ölçmek, Düzenlemek ve Kontrol Etmek İçin Kullanılan Alet ve Cihazların Kurulumu, Bakımı ve Onarımı</t>
        </is>
      </c>
      <c r="F89" s="13" t="inlineStr">
        <is>
          <t>EK-1 faaliyet başlığıdır. Ayrıntılı kapsam ve eşikler için yayımlanacak resmi teknik tarama kriterleri incelenmelidir.</t>
        </is>
      </c>
      <c r="G89" s="13" t="inlineStr"/>
      <c r="H89" s="13" t="inlineStr">
        <is>
          <t>Kolaylaştırıcı Faaliyet</t>
        </is>
      </c>
      <c r="I89" s="13" t="inlineStr">
        <is>
          <t>Evet</t>
        </is>
      </c>
      <c r="J89" s="13" t="inlineStr">
        <is>
          <t>Hayır</t>
        </is>
      </c>
      <c r="K89" s="13" t="inlineStr">
        <is>
          <t>Evet</t>
        </is>
      </c>
      <c r="L89" s="13" t="inlineStr">
        <is>
          <t>Evet</t>
        </is>
      </c>
      <c r="M89" s="13" t="inlineStr"/>
      <c r="N89" s="13" t="inlineStr"/>
      <c r="O89" s="13" t="inlineStr"/>
      <c r="P89" s="13" t="inlineStr"/>
      <c r="Q89" s="13" t="inlineStr">
        <is>
          <t>Yayımlanmamış / Doğrulanmalı</t>
        </is>
      </c>
      <c r="R89" s="13" t="inlineStr">
        <is>
          <t>Faaliyet hacmi; enerji, yakıt, su, atık ve sera gazı verileri; hasılat, CAPEX ve OPEX; teknik performans göstergeleri.</t>
        </is>
      </c>
      <c r="S89" s="13" t="inlineStr">
        <is>
          <t>İzin ve ruhsatlar; sayaç/fatura kayıtları; emisyon ve atık beyanları; proje/teknik raporlar; doğrulama ve sosyal koruma belgeleri.</t>
        </is>
      </c>
      <c r="T89" s="13" t="inlineStr">
        <is>
          <t>NACE kodu eşleştirmeyi destekler; tek başına taksonomi uyumluluğunu kanıtlamaz.</t>
        </is>
      </c>
      <c r="U89" s="14" t="inlineStr">
        <is>
          <t>Türkiye Yeşil Taksonomisi Yönetmeliği, EK-1</t>
        </is>
      </c>
    </row>
    <row r="90">
      <c r="A90" s="13" t="n">
        <v>88</v>
      </c>
      <c r="B90" s="13" t="n">
        <v>7</v>
      </c>
      <c r="C90" s="13" t="inlineStr">
        <is>
          <t>İnşaat ve Emlak Faaliyetleri</t>
        </is>
      </c>
      <c r="D90" s="13" t="inlineStr">
        <is>
          <t>A-7.6; B-7.6</t>
        </is>
      </c>
      <c r="E90" s="13" t="inlineStr">
        <is>
          <t>Yenilenebilir Enerji Teknolojilerinin Kurulumu, Bakımı ve Onarımı</t>
        </is>
      </c>
      <c r="F90" s="13" t="inlineStr">
        <is>
          <t>EK-1 faaliyet başlığıdır. Ayrıntılı kapsam ve eşikler için yayımlanacak resmi teknik tarama kriterleri incelenmelidir.</t>
        </is>
      </c>
      <c r="G90" s="13" t="inlineStr"/>
      <c r="H90" s="13" t="inlineStr">
        <is>
          <t>Kolaylaştırıcı Faaliyet</t>
        </is>
      </c>
      <c r="I90" s="13" t="inlineStr">
        <is>
          <t>Evet</t>
        </is>
      </c>
      <c r="J90" s="13" t="inlineStr">
        <is>
          <t>Hayır</t>
        </is>
      </c>
      <c r="K90" s="13" t="inlineStr">
        <is>
          <t>Evet</t>
        </is>
      </c>
      <c r="L90" s="13" t="inlineStr">
        <is>
          <t>Evet</t>
        </is>
      </c>
      <c r="M90" s="13" t="inlineStr"/>
      <c r="N90" s="13" t="inlineStr"/>
      <c r="O90" s="13" t="inlineStr"/>
      <c r="P90" s="13" t="inlineStr"/>
      <c r="Q90" s="13" t="inlineStr">
        <is>
          <t>Yayımlanmamış / Doğrulanmalı</t>
        </is>
      </c>
      <c r="R90" s="13" t="inlineStr">
        <is>
          <t>Faaliyet hacmi; enerji, yakıt, su, atık ve sera gazı verileri; hasılat, CAPEX ve OPEX; teknik performans göstergeleri.</t>
        </is>
      </c>
      <c r="S90" s="13" t="inlineStr">
        <is>
          <t>İzin ve ruhsatlar; sayaç/fatura kayıtları; emisyon ve atık beyanları; proje/teknik raporlar; doğrulama ve sosyal koruma belgeleri.</t>
        </is>
      </c>
      <c r="T90" s="13" t="inlineStr">
        <is>
          <t>NACE kodu eşleştirmeyi destekler; tek başına taksonomi uyumluluğunu kanıtlamaz.</t>
        </is>
      </c>
      <c r="U90" s="14" t="inlineStr">
        <is>
          <t>Türkiye Yeşil Taksonomisi Yönetmeliği, EK-1</t>
        </is>
      </c>
    </row>
    <row r="91">
      <c r="A91" s="13" t="n">
        <v>89</v>
      </c>
      <c r="B91" s="13" t="n">
        <v>7</v>
      </c>
      <c r="C91" s="13" t="inlineStr">
        <is>
          <t>İnşaat ve Emlak Faaliyetleri</t>
        </is>
      </c>
      <c r="D91" s="13" t="inlineStr">
        <is>
          <t>A-7.7; B-7.7</t>
        </is>
      </c>
      <c r="E91" s="13" t="inlineStr">
        <is>
          <t>Binaların Satın Alınması ve Mülkiyeti</t>
        </is>
      </c>
      <c r="F91" s="13" t="inlineStr">
        <is>
          <t>EK-1 faaliyet başlığıdır. Ayrıntılı kapsam ve eşikler için yayımlanacak resmi teknik tarama kriterleri incelenmelidir.</t>
        </is>
      </c>
      <c r="G91" s="13" t="inlineStr"/>
      <c r="H91" s="13" t="inlineStr">
        <is>
          <t>Diğer / Genel Faaliyet</t>
        </is>
      </c>
      <c r="I91" s="13" t="inlineStr">
        <is>
          <t>Hayır</t>
        </is>
      </c>
      <c r="J91" s="13" t="inlineStr">
        <is>
          <t>Hayır</t>
        </is>
      </c>
      <c r="K91" s="13" t="inlineStr">
        <is>
          <t>Evet</t>
        </is>
      </c>
      <c r="L91" s="13" t="inlineStr">
        <is>
          <t>Evet</t>
        </is>
      </c>
      <c r="M91" s="13" t="inlineStr"/>
      <c r="N91" s="13" t="inlineStr"/>
      <c r="O91" s="13" t="inlineStr"/>
      <c r="P91" s="13" t="inlineStr"/>
      <c r="Q91" s="13" t="inlineStr">
        <is>
          <t>Yayımlanmamış / Doğrulanmalı</t>
        </is>
      </c>
      <c r="R91" s="13" t="inlineStr">
        <is>
          <t>Faaliyet hacmi; enerji, yakıt, su, atık ve sera gazı verileri; hasılat, CAPEX ve OPEX; teknik performans göstergeleri.</t>
        </is>
      </c>
      <c r="S91" s="13" t="inlineStr">
        <is>
          <t>İzin ve ruhsatlar; sayaç/fatura kayıtları; emisyon ve atık beyanları; proje/teknik raporlar; doğrulama ve sosyal koruma belgeleri.</t>
        </is>
      </c>
      <c r="T91" s="13" t="inlineStr">
        <is>
          <t>NACE kodu eşleştirmeyi destekler; tek başına taksonomi uyumluluğunu kanıtlamaz.</t>
        </is>
      </c>
      <c r="U91" s="14" t="inlineStr">
        <is>
          <t>Türkiye Yeşil Taksonomisi Yönetmeliği, EK-1</t>
        </is>
      </c>
    </row>
    <row r="92">
      <c r="A92" s="13" t="n">
        <v>90</v>
      </c>
      <c r="B92" s="13" t="n">
        <v>8</v>
      </c>
      <c r="C92" s="13" t="inlineStr">
        <is>
          <t>Bilgi ve İletişim Faaliyetleri</t>
        </is>
      </c>
      <c r="D92" s="13" t="inlineStr">
        <is>
          <t>A-8.1; B-8.1</t>
        </is>
      </c>
      <c r="E92" s="13" t="inlineStr">
        <is>
          <t>Veri İşleme, Barındırma ve İlgili Faaliyetler</t>
        </is>
      </c>
      <c r="F92" s="13" t="inlineStr">
        <is>
          <t>EK-1 faaliyet başlığıdır. Ayrıntılı kapsam ve eşikler için yayımlanacak resmi teknik tarama kriterleri incelenmelidir.</t>
        </is>
      </c>
      <c r="G92" s="13" t="inlineStr"/>
      <c r="H92" s="13" t="inlineStr">
        <is>
          <t>Geçiş Faaliyeti</t>
        </is>
      </c>
      <c r="I92" s="13" t="inlineStr">
        <is>
          <t>Hayır</t>
        </is>
      </c>
      <c r="J92" s="13" t="inlineStr">
        <is>
          <t>Evet</t>
        </is>
      </c>
      <c r="K92" s="13" t="inlineStr">
        <is>
          <t>Evet</t>
        </is>
      </c>
      <c r="L92" s="13" t="inlineStr">
        <is>
          <t>Evet</t>
        </is>
      </c>
      <c r="M92" s="13" t="inlineStr"/>
      <c r="N92" s="13" t="inlineStr"/>
      <c r="O92" s="13" t="inlineStr"/>
      <c r="P92" s="13" t="inlineStr"/>
      <c r="Q92" s="13" t="inlineStr">
        <is>
          <t>Yayımlanmamış / Doğrulanmalı</t>
        </is>
      </c>
      <c r="R92" s="13" t="inlineStr">
        <is>
          <t>Faaliyet hacmi; enerji, yakıt, su, atık ve sera gazı verileri; hasılat, CAPEX ve OPEX; teknik performans göstergeleri.</t>
        </is>
      </c>
      <c r="S92" s="13" t="inlineStr">
        <is>
          <t>İzin ve ruhsatlar; sayaç/fatura kayıtları; emisyon ve atık beyanları; proje/teknik raporlar; doğrulama ve sosyal koruma belgeleri.</t>
        </is>
      </c>
      <c r="T92" s="13" t="inlineStr">
        <is>
          <t>NACE kodu eşleştirmeyi destekler; tek başına taksonomi uyumluluğunu kanıtlamaz.</t>
        </is>
      </c>
      <c r="U92" s="14" t="inlineStr">
        <is>
          <t>Türkiye Yeşil Taksonomisi Yönetmeliği, EK-1</t>
        </is>
      </c>
    </row>
    <row r="93">
      <c r="A93" s="13" t="n">
        <v>91</v>
      </c>
      <c r="B93" s="13" t="n">
        <v>8</v>
      </c>
      <c r="C93" s="13" t="inlineStr">
        <is>
          <t>Bilgi ve İletişim Faaliyetleri</t>
        </is>
      </c>
      <c r="D93" s="13" t="inlineStr">
        <is>
          <t>A-8.2; B-8.2</t>
        </is>
      </c>
      <c r="E93" s="13" t="inlineStr">
        <is>
          <t>Sera Gazı Emisyonlarının Azaltılması İçin Veriye Dayalı Çözümler</t>
        </is>
      </c>
      <c r="F93" s="13" t="inlineStr">
        <is>
          <t>EK-1 faaliyet başlığıdır. Ayrıntılı kapsam ve eşikler için yayımlanacak resmi teknik tarama kriterleri incelenmelidir.</t>
        </is>
      </c>
      <c r="G93" s="13" t="inlineStr"/>
      <c r="H93" s="13" t="inlineStr">
        <is>
          <t>Kolaylaştırıcı Faaliyet</t>
        </is>
      </c>
      <c r="I93" s="13" t="inlineStr">
        <is>
          <t>Evet</t>
        </is>
      </c>
      <c r="J93" s="13" t="inlineStr">
        <is>
          <t>Hayır</t>
        </is>
      </c>
      <c r="K93" s="13" t="inlineStr">
        <is>
          <t>Evet</t>
        </is>
      </c>
      <c r="L93" s="13" t="inlineStr">
        <is>
          <t>Evet</t>
        </is>
      </c>
      <c r="M93" s="13" t="inlineStr"/>
      <c r="N93" s="13" t="inlineStr"/>
      <c r="O93" s="13" t="inlineStr"/>
      <c r="P93" s="13" t="inlineStr"/>
      <c r="Q93" s="13" t="inlineStr">
        <is>
          <t>Yayımlanmamış / Doğrulanmalı</t>
        </is>
      </c>
      <c r="R93" s="13" t="inlineStr">
        <is>
          <t>Faaliyet hacmi; enerji, yakıt, su, atık ve sera gazı verileri; hasılat, CAPEX ve OPEX; teknik performans göstergeleri.</t>
        </is>
      </c>
      <c r="S93" s="13" t="inlineStr">
        <is>
          <t>İzin ve ruhsatlar; sayaç/fatura kayıtları; emisyon ve atık beyanları; proje/teknik raporlar; doğrulama ve sosyal koruma belgeleri.</t>
        </is>
      </c>
      <c r="T93" s="13" t="inlineStr">
        <is>
          <t>NACE kodu eşleştirmeyi destekler; tek başına taksonomi uyumluluğunu kanıtlamaz.</t>
        </is>
      </c>
      <c r="U93" s="14" t="inlineStr">
        <is>
          <t>Türkiye Yeşil Taksonomisi Yönetmeliği, EK-1</t>
        </is>
      </c>
    </row>
    <row r="94">
      <c r="A94" s="13" t="n">
        <v>92</v>
      </c>
      <c r="B94" s="13" t="n">
        <v>9</v>
      </c>
      <c r="C94" s="13" t="inlineStr">
        <is>
          <t>Mesleki, Bilimsel ve Teknik Faaliyetler</t>
        </is>
      </c>
      <c r="D94" s="13" t="inlineStr">
        <is>
          <t>A-9.1; B-9.1</t>
        </is>
      </c>
      <c r="E94" s="13" t="inlineStr">
        <is>
          <t>Pazar Araştırması, Geliştirme ve İnovasyona Yakın</t>
        </is>
      </c>
      <c r="F94" s="13" t="inlineStr">
        <is>
          <t>EK-1 faaliyet başlığıdır. Ayrıntılı kapsam ve eşikler için yayımlanacak resmi teknik tarama kriterleri incelenmelidir.</t>
        </is>
      </c>
      <c r="G94" s="13" t="inlineStr"/>
      <c r="H94" s="13" t="inlineStr">
        <is>
          <t>Kolaylaştırıcı Faaliyet</t>
        </is>
      </c>
      <c r="I94" s="13" t="inlineStr">
        <is>
          <t>Evet</t>
        </is>
      </c>
      <c r="J94" s="13" t="inlineStr">
        <is>
          <t>Hayır</t>
        </is>
      </c>
      <c r="K94" s="13" t="inlineStr">
        <is>
          <t>Evet</t>
        </is>
      </c>
      <c r="L94" s="13" t="inlineStr">
        <is>
          <t>Evet</t>
        </is>
      </c>
      <c r="M94" s="13" t="inlineStr"/>
      <c r="N94" s="13" t="inlineStr"/>
      <c r="O94" s="13" t="inlineStr"/>
      <c r="P94" s="13" t="inlineStr"/>
      <c r="Q94" s="13" t="inlineStr">
        <is>
          <t>Yayımlanmamış / Doğrulanmalı</t>
        </is>
      </c>
      <c r="R94" s="13" t="inlineStr">
        <is>
          <t>Faaliyet hacmi; enerji, yakıt, su, atık ve sera gazı verileri; hasılat, CAPEX ve OPEX; teknik performans göstergeleri.</t>
        </is>
      </c>
      <c r="S94" s="13" t="inlineStr">
        <is>
          <t>İzin ve ruhsatlar; sayaç/fatura kayıtları; emisyon ve atık beyanları; proje/teknik raporlar; doğrulama ve sosyal koruma belgeleri.</t>
        </is>
      </c>
      <c r="T94" s="13" t="inlineStr">
        <is>
          <t>NACE kodu eşleştirmeyi destekler; tek başına taksonomi uyumluluğunu kanıtlamaz.</t>
        </is>
      </c>
      <c r="U94" s="14" t="inlineStr">
        <is>
          <t>Türkiye Yeşil Taksonomisi Yönetmeliği, EK-1</t>
        </is>
      </c>
    </row>
    <row r="95">
      <c r="A95" s="13" t="n">
        <v>93</v>
      </c>
      <c r="B95" s="13" t="n">
        <v>9</v>
      </c>
      <c r="C95" s="13" t="inlineStr">
        <is>
          <t>Mesleki, Bilimsel ve Teknik Faaliyetler</t>
        </is>
      </c>
      <c r="D95" s="13" t="inlineStr">
        <is>
          <t>A-9.2; B-9.2</t>
        </is>
      </c>
      <c r="E95" s="13" t="inlineStr">
        <is>
          <t>Karbondioksitin Doğrudan Havadan Yakalanması İçin Araştırma, Geliştirme ve İnovasyon</t>
        </is>
      </c>
      <c r="F95" s="13" t="inlineStr">
        <is>
          <t>EK-1 faaliyet başlığıdır. Ayrıntılı kapsam ve eşikler için yayımlanacak resmi teknik tarama kriterleri incelenmelidir.</t>
        </is>
      </c>
      <c r="G95" s="13" t="inlineStr"/>
      <c r="H95" s="13" t="inlineStr">
        <is>
          <t>Kolaylaştırıcı Faaliyet</t>
        </is>
      </c>
      <c r="I95" s="13" t="inlineStr">
        <is>
          <t>Evet</t>
        </is>
      </c>
      <c r="J95" s="13" t="inlineStr">
        <is>
          <t>Hayır</t>
        </is>
      </c>
      <c r="K95" s="13" t="inlineStr">
        <is>
          <t>Evet</t>
        </is>
      </c>
      <c r="L95" s="13" t="inlineStr">
        <is>
          <t>Evet</t>
        </is>
      </c>
      <c r="M95" s="13" t="inlineStr"/>
      <c r="N95" s="13" t="inlineStr"/>
      <c r="O95" s="13" t="inlineStr"/>
      <c r="P95" s="13" t="inlineStr"/>
      <c r="Q95" s="13" t="inlineStr">
        <is>
          <t>Yayımlanmamış / Doğrulanmalı</t>
        </is>
      </c>
      <c r="R95" s="13" t="inlineStr">
        <is>
          <t>Faaliyet hacmi; enerji, yakıt, su, atık ve sera gazı verileri; hasılat, CAPEX ve OPEX; teknik performans göstergeleri.</t>
        </is>
      </c>
      <c r="S95" s="13" t="inlineStr">
        <is>
          <t>İzin ve ruhsatlar; sayaç/fatura kayıtları; emisyon ve atık beyanları; proje/teknik raporlar; doğrulama ve sosyal koruma belgeleri.</t>
        </is>
      </c>
      <c r="T95" s="13" t="inlineStr">
        <is>
          <t>NACE kodu eşleştirmeyi destekler; tek başına taksonomi uyumluluğunu kanıtlamaz.</t>
        </is>
      </c>
      <c r="U95" s="14" t="inlineStr">
        <is>
          <t>Türkiye Yeşil Taksonomisi Yönetmeliği, EK-1</t>
        </is>
      </c>
    </row>
    <row r="96">
      <c r="A96" s="13" t="n">
        <v>94</v>
      </c>
      <c r="B96" s="13" t="n">
        <v>9</v>
      </c>
      <c r="C96" s="13" t="inlineStr">
        <is>
          <t>Mesleki, Bilimsel ve Teknik Faaliyetler</t>
        </is>
      </c>
      <c r="D96" s="13" t="inlineStr">
        <is>
          <t>A-9.3; B-9.3</t>
        </is>
      </c>
      <c r="E96" s="13" t="inlineStr">
        <is>
          <t>Binaların Enerji Performansı İle İlgili Profesyonel Hizmetler</t>
        </is>
      </c>
      <c r="F96" s="13" t="inlineStr">
        <is>
          <t>EK-1 faaliyet başlığıdır. Ayrıntılı kapsam ve eşikler için yayımlanacak resmi teknik tarama kriterleri incelenmelidir.</t>
        </is>
      </c>
      <c r="G96" s="13" t="inlineStr"/>
      <c r="H96" s="13" t="inlineStr">
        <is>
          <t>Kolaylaştırıcı Faaliyet</t>
        </is>
      </c>
      <c r="I96" s="13" t="inlineStr">
        <is>
          <t>Evet</t>
        </is>
      </c>
      <c r="J96" s="13" t="inlineStr">
        <is>
          <t>Hayır</t>
        </is>
      </c>
      <c r="K96" s="13" t="inlineStr">
        <is>
          <t>Evet</t>
        </is>
      </c>
      <c r="L96" s="13" t="inlineStr">
        <is>
          <t>Evet</t>
        </is>
      </c>
      <c r="M96" s="13" t="inlineStr"/>
      <c r="N96" s="13" t="inlineStr"/>
      <c r="O96" s="13" t="inlineStr"/>
      <c r="P96" s="13" t="inlineStr"/>
      <c r="Q96" s="13" t="inlineStr">
        <is>
          <t>Yayımlanmamış / Doğrulanmalı</t>
        </is>
      </c>
      <c r="R96" s="13" t="inlineStr">
        <is>
          <t>Faaliyet hacmi; enerji, yakıt, su, atık ve sera gazı verileri; hasılat, CAPEX ve OPEX; teknik performans göstergeleri.</t>
        </is>
      </c>
      <c r="S96" s="13" t="inlineStr">
        <is>
          <t>İzin ve ruhsatlar; sayaç/fatura kayıtları; emisyon ve atık beyanları; proje/teknik raporlar; doğrulama ve sosyal koruma belgeleri.</t>
        </is>
      </c>
      <c r="T96" s="13" t="inlineStr">
        <is>
          <t>NACE kodu eşleştirmeyi destekler; tek başına taksonomi uyumluluğunu kanıtlamaz.</t>
        </is>
      </c>
      <c r="U96" s="14" t="inlineStr">
        <is>
          <t>Türkiye Yeşil Taksonomisi Yönetmeliği, EK-1</t>
        </is>
      </c>
    </row>
    <row r="97">
      <c r="A97" s="13" t="n">
        <v>95</v>
      </c>
      <c r="B97" s="13" t="n">
        <v>10</v>
      </c>
      <c r="C97" s="13" t="inlineStr">
        <is>
          <t>Tarım Faaliyetleri</t>
        </is>
      </c>
      <c r="D97" s="13" t="inlineStr">
        <is>
          <t>A-10.1</t>
        </is>
      </c>
      <c r="E97" s="13" t="inlineStr">
        <is>
          <t>Bitkisel ve Hayvansal Üretim</t>
        </is>
      </c>
      <c r="F97" s="13" t="inlineStr">
        <is>
          <t>EK-1 faaliyet başlığıdır. Ayrıntılı kapsam ve eşikler için yayımlanacak resmi teknik tarama kriterleri incelenmelidir.</t>
        </is>
      </c>
      <c r="G97" s="13" t="inlineStr"/>
      <c r="H97" s="13" t="inlineStr">
        <is>
          <t>Diğer / Genel Faaliyet</t>
        </is>
      </c>
      <c r="I97" s="13" t="inlineStr">
        <is>
          <t>Hayır</t>
        </is>
      </c>
      <c r="J97" s="13" t="inlineStr">
        <is>
          <t>Hayır</t>
        </is>
      </c>
      <c r="K97" s="13" t="inlineStr">
        <is>
          <t>Evet</t>
        </is>
      </c>
      <c r="L97" s="13" t="inlineStr"/>
      <c r="M97" s="13" t="inlineStr"/>
      <c r="N97" s="13" t="inlineStr"/>
      <c r="O97" s="13" t="inlineStr"/>
      <c r="P97" s="13" t="inlineStr"/>
      <c r="Q97" s="13" t="inlineStr">
        <is>
          <t>Yayımlanmamış / Doğrulanmalı</t>
        </is>
      </c>
      <c r="R97" s="13" t="inlineStr">
        <is>
          <t>Faaliyet hacmi; enerji, yakıt, su, atık ve sera gazı verileri; hasılat, CAPEX ve OPEX; teknik performans göstergeleri.</t>
        </is>
      </c>
      <c r="S97" s="13" t="inlineStr">
        <is>
          <t>İzin ve ruhsatlar; sayaç/fatura kayıtları; emisyon ve atık beyanları; proje/teknik raporlar; doğrulama ve sosyal koruma belgeleri.</t>
        </is>
      </c>
      <c r="T97" s="13" t="inlineStr">
        <is>
          <t>NACE kodu eşleştirmeyi destekler; tek başına taksonomi uyumluluğunu kanıtlamaz.</t>
        </is>
      </c>
      <c r="U97" s="14" t="inlineStr">
        <is>
          <t>Türkiye Yeşil Taksonomisi Yönetmeliği, EK-1</t>
        </is>
      </c>
    </row>
    <row r="98">
      <c r="A98" s="13" t="n">
        <v>96</v>
      </c>
      <c r="B98" s="13" t="n">
        <v>11</v>
      </c>
      <c r="C98" s="13" t="inlineStr">
        <is>
          <t>Turizm Faaliyetleri</t>
        </is>
      </c>
      <c r="D98" s="13" t="inlineStr">
        <is>
          <t>A-11.1</t>
        </is>
      </c>
      <c r="E98" s="13" t="inlineStr">
        <is>
          <t>Turizm, Gezi ve Turizm Konaklama Faaliyetleri</t>
        </is>
      </c>
      <c r="F98" s="13" t="inlineStr">
        <is>
          <t>EK-1 faaliyet başlığıdır. Ayrıntılı kapsam ve eşikler için yayımlanacak resmi teknik tarama kriterleri incelenmelidir.</t>
        </is>
      </c>
      <c r="G98" s="13" t="inlineStr"/>
      <c r="H98" s="13" t="inlineStr">
        <is>
          <t>Diğer / Genel Faaliyet</t>
        </is>
      </c>
      <c r="I98" s="13" t="inlineStr">
        <is>
          <t>Hayır</t>
        </is>
      </c>
      <c r="J98" s="13" t="inlineStr">
        <is>
          <t>Hayır</t>
        </is>
      </c>
      <c r="K98" s="13" t="inlineStr">
        <is>
          <t>Evet</t>
        </is>
      </c>
      <c r="L98" s="13" t="inlineStr"/>
      <c r="M98" s="13" t="inlineStr"/>
      <c r="N98" s="13" t="inlineStr"/>
      <c r="O98" s="13" t="inlineStr"/>
      <c r="P98" s="13" t="inlineStr"/>
      <c r="Q98" s="13" t="inlineStr">
        <is>
          <t>Yayımlanmamış / Doğrulanmalı</t>
        </is>
      </c>
      <c r="R98" s="13" t="inlineStr">
        <is>
          <t>Faaliyet hacmi; enerji, yakıt, su, atık ve sera gazı verileri; hasılat, CAPEX ve OPEX; teknik performans göstergeleri.</t>
        </is>
      </c>
      <c r="S98" s="13" t="inlineStr">
        <is>
          <t>İzin ve ruhsatlar; sayaç/fatura kayıtları; emisyon ve atık beyanları; proje/teknik raporlar; doğrulama ve sosyal koruma belgeleri.</t>
        </is>
      </c>
      <c r="T98" s="13" t="inlineStr">
        <is>
          <t>NACE kodu eşleştirmeyi destekler; tek başına taksonomi uyumluluğunu kanıtlamaz.</t>
        </is>
      </c>
      <c r="U98" s="14" t="inlineStr">
        <is>
          <t>Türkiye Yeşil Taksonomisi Yönetmeliği, EK-1</t>
        </is>
      </c>
    </row>
    <row r="99">
      <c r="A99" s="13" t="n">
        <v>97</v>
      </c>
      <c r="B99" s="13" t="n">
        <v>6</v>
      </c>
      <c r="C99" s="13" t="inlineStr">
        <is>
          <t>Ulaştırma Faaliyetleri</t>
        </is>
      </c>
      <c r="D99" s="13" t="inlineStr">
        <is>
          <t>B-6.15</t>
        </is>
      </c>
      <c r="E99" s="13" t="inlineStr">
        <is>
          <t>Karayolu Taşımacılığı ve Toplu Taşımaya Olanak Sağlayan Altyapı</t>
        </is>
      </c>
      <c r="F99" s="13" t="inlineStr">
        <is>
          <t>EK-1 faaliyet başlığıdır. Ayrıntılı kapsam ve eşikler için yayımlanacak resmi teknik tarama kriterleri incelenmelidir.</t>
        </is>
      </c>
      <c r="G99" s="13" t="inlineStr"/>
      <c r="H99" s="13" t="inlineStr">
        <is>
          <t>Diğer / Genel Faaliyet</t>
        </is>
      </c>
      <c r="I99" s="13" t="inlineStr">
        <is>
          <t>Hayır</t>
        </is>
      </c>
      <c r="J99" s="13" t="inlineStr">
        <is>
          <t>Hayır</t>
        </is>
      </c>
      <c r="K99" s="13" t="inlineStr"/>
      <c r="L99" s="13" t="inlineStr">
        <is>
          <t>Evet</t>
        </is>
      </c>
      <c r="M99" s="13" t="inlineStr"/>
      <c r="N99" s="13" t="inlineStr"/>
      <c r="O99" s="13" t="inlineStr"/>
      <c r="P99" s="13" t="inlineStr"/>
      <c r="Q99" s="13" t="inlineStr">
        <is>
          <t>Yayımlanmamış / Doğrulanmalı</t>
        </is>
      </c>
      <c r="R99" s="13" t="inlineStr">
        <is>
          <t>Faaliyet hacmi; enerji, yakıt, su, atık ve sera gazı verileri; hasılat, CAPEX ve OPEX; teknik performans göstergeleri.</t>
        </is>
      </c>
      <c r="S99" s="13" t="inlineStr">
        <is>
          <t>İzin ve ruhsatlar; sayaç/fatura kayıtları; emisyon ve atık beyanları; proje/teknik raporlar; doğrulama ve sosyal koruma belgeleri.</t>
        </is>
      </c>
      <c r="T99" s="13" t="inlineStr">
        <is>
          <t>NACE kodu eşleştirmeyi destekler; tek başına taksonomi uyumluluğunu kanıtlamaz.</t>
        </is>
      </c>
      <c r="U99" s="14" t="inlineStr">
        <is>
          <t>Türkiye Yeşil Taksonomisi Yönetmeliği, EK-1</t>
        </is>
      </c>
    </row>
    <row r="100">
      <c r="A100" s="13" t="n">
        <v>98</v>
      </c>
      <c r="B100" s="13" t="n">
        <v>6</v>
      </c>
      <c r="C100" s="13" t="inlineStr">
        <is>
          <t>Ulaştırma Faaliyetleri</t>
        </is>
      </c>
      <c r="D100" s="13" t="inlineStr">
        <is>
          <t>B-6.16</t>
        </is>
      </c>
      <c r="E100" s="13" t="inlineStr">
        <is>
          <t>Su Taşımacılığına Olanak Sağlayan Altyapı</t>
        </is>
      </c>
      <c r="F100" s="13" t="inlineStr">
        <is>
          <t>EK-1 faaliyet başlığıdır. Ayrıntılı kapsam ve eşikler için yayımlanacak resmi teknik tarama kriterleri incelenmelidir.</t>
        </is>
      </c>
      <c r="G100" s="13" t="inlineStr"/>
      <c r="H100" s="13" t="inlineStr">
        <is>
          <t>Diğer / Genel Faaliyet</t>
        </is>
      </c>
      <c r="I100" s="13" t="inlineStr">
        <is>
          <t>Hayır</t>
        </is>
      </c>
      <c r="J100" s="13" t="inlineStr">
        <is>
          <t>Hayır</t>
        </is>
      </c>
      <c r="K100" s="13" t="inlineStr"/>
      <c r="L100" s="13" t="inlineStr">
        <is>
          <t>Evet</t>
        </is>
      </c>
      <c r="M100" s="13" t="inlineStr"/>
      <c r="N100" s="13" t="inlineStr"/>
      <c r="O100" s="13" t="inlineStr"/>
      <c r="P100" s="13" t="inlineStr"/>
      <c r="Q100" s="13" t="inlineStr">
        <is>
          <t>Yayımlanmamış / Doğrulanmalı</t>
        </is>
      </c>
      <c r="R100" s="13" t="inlineStr">
        <is>
          <t>Faaliyet hacmi; enerji, yakıt, su, atık ve sera gazı verileri; hasılat, CAPEX ve OPEX; teknik performans göstergeleri.</t>
        </is>
      </c>
      <c r="S100" s="13" t="inlineStr">
        <is>
          <t>İzin ve ruhsatlar; sayaç/fatura kayıtları; emisyon ve atık beyanları; proje/teknik raporlar; doğrulama ve sosyal koruma belgeleri.</t>
        </is>
      </c>
      <c r="T100" s="13" t="inlineStr">
        <is>
          <t>NACE kodu eşleştirmeyi destekler; tek başına taksonomi uyumluluğunu kanıtlamaz.</t>
        </is>
      </c>
      <c r="U100" s="14" t="inlineStr">
        <is>
          <t>Türkiye Yeşil Taksonomisi Yönetmeliği, EK-1</t>
        </is>
      </c>
    </row>
    <row r="101">
      <c r="A101" s="13" t="n">
        <v>99</v>
      </c>
      <c r="B101" s="13" t="n">
        <v>6</v>
      </c>
      <c r="C101" s="13" t="inlineStr">
        <is>
          <t>Ulaştırma Faaliyetleri</t>
        </is>
      </c>
      <c r="D101" s="13" t="inlineStr">
        <is>
          <t>B-6.17</t>
        </is>
      </c>
      <c r="E101" s="13" t="inlineStr">
        <is>
          <t>Havalimanı Altyapısı</t>
        </is>
      </c>
      <c r="F101" s="13" t="inlineStr">
        <is>
          <t>EK-1 faaliyet başlığıdır. Ayrıntılı kapsam ve eşikler için yayımlanacak resmi teknik tarama kriterleri incelenmelidir.</t>
        </is>
      </c>
      <c r="G101" s="13" t="inlineStr"/>
      <c r="H101" s="13" t="inlineStr">
        <is>
          <t>Diğer / Genel Faaliyet</t>
        </is>
      </c>
      <c r="I101" s="13" t="inlineStr">
        <is>
          <t>Hayır</t>
        </is>
      </c>
      <c r="J101" s="13" t="inlineStr">
        <is>
          <t>Hayır</t>
        </is>
      </c>
      <c r="K101" s="13" t="inlineStr"/>
      <c r="L101" s="13" t="inlineStr">
        <is>
          <t>Evet</t>
        </is>
      </c>
      <c r="M101" s="13" t="inlineStr"/>
      <c r="N101" s="13" t="inlineStr"/>
      <c r="O101" s="13" t="inlineStr"/>
      <c r="P101" s="13" t="inlineStr"/>
      <c r="Q101" s="13" t="inlineStr">
        <is>
          <t>Yayımlanmamış / Doğrulanmalı</t>
        </is>
      </c>
      <c r="R101" s="13" t="inlineStr">
        <is>
          <t>Faaliyet hacmi; enerji, yakıt, su, atık ve sera gazı verileri; hasılat, CAPEX ve OPEX; teknik performans göstergeleri.</t>
        </is>
      </c>
      <c r="S101" s="13" t="inlineStr">
        <is>
          <t>İzin ve ruhsatlar; sayaç/fatura kayıtları; emisyon ve atık beyanları; proje/teknik raporlar; doğrulama ve sosyal koruma belgeleri.</t>
        </is>
      </c>
      <c r="T101" s="13" t="inlineStr">
        <is>
          <t>NACE kodu eşleştirmeyi destekler; tek başına taksonomi uyumluluğunu kanıtlamaz.</t>
        </is>
      </c>
      <c r="U101" s="14" t="inlineStr">
        <is>
          <t>Türkiye Yeşil Taksonomisi Yönetmeliği, EK-1</t>
        </is>
      </c>
    </row>
    <row r="102">
      <c r="A102" s="13" t="n">
        <v>100</v>
      </c>
      <c r="B102" s="13" t="n">
        <v>8</v>
      </c>
      <c r="C102" s="13" t="inlineStr">
        <is>
          <t>Bilgi ve İletişim Faaliyetleri</t>
        </is>
      </c>
      <c r="D102" s="13" t="inlineStr">
        <is>
          <t>B-8.3</t>
        </is>
      </c>
      <c r="E102" s="13" t="inlineStr">
        <is>
          <t>Bilgisayar Programlama, Danışmanlık ve İlgili Faaliyetler</t>
        </is>
      </c>
      <c r="F102" s="13" t="inlineStr">
        <is>
          <t>EK-1 faaliyet başlığıdır. Ayrıntılı kapsam ve eşikler için yayımlanacak resmi teknik tarama kriterleri incelenmelidir.</t>
        </is>
      </c>
      <c r="G102" s="13" t="inlineStr"/>
      <c r="H102" s="13" t="inlineStr">
        <is>
          <t>Diğer / Genel Faaliyet</t>
        </is>
      </c>
      <c r="I102" s="13" t="inlineStr">
        <is>
          <t>Hayır</t>
        </is>
      </c>
      <c r="J102" s="13" t="inlineStr">
        <is>
          <t>Hayır</t>
        </is>
      </c>
      <c r="K102" s="13" t="inlineStr"/>
      <c r="L102" s="13" t="inlineStr">
        <is>
          <t>Evet</t>
        </is>
      </c>
      <c r="M102" s="13" t="inlineStr"/>
      <c r="N102" s="13" t="inlineStr"/>
      <c r="O102" s="13" t="inlineStr"/>
      <c r="P102" s="13" t="inlineStr"/>
      <c r="Q102" s="13" t="inlineStr">
        <is>
          <t>Yayımlanmamış / Doğrulanmalı</t>
        </is>
      </c>
      <c r="R102" s="13" t="inlineStr">
        <is>
          <t>Faaliyet hacmi; enerji, yakıt, su, atık ve sera gazı verileri; hasılat, CAPEX ve OPEX; teknik performans göstergeleri.</t>
        </is>
      </c>
      <c r="S102" s="13" t="inlineStr">
        <is>
          <t>İzin ve ruhsatlar; sayaç/fatura kayıtları; emisyon ve atık beyanları; proje/teknik raporlar; doğrulama ve sosyal koruma belgeleri.</t>
        </is>
      </c>
      <c r="T102" s="13" t="inlineStr">
        <is>
          <t>NACE kodu eşleştirmeyi destekler; tek başına taksonomi uyumluluğunu kanıtlamaz.</t>
        </is>
      </c>
      <c r="U102" s="14" t="inlineStr">
        <is>
          <t>Türkiye Yeşil Taksonomisi Yönetmeliği, EK-1</t>
        </is>
      </c>
    </row>
    <row r="103">
      <c r="A103" s="13" t="n">
        <v>101</v>
      </c>
      <c r="B103" s="13" t="n">
        <v>8</v>
      </c>
      <c r="C103" s="13" t="inlineStr">
        <is>
          <t>Bilgi ve İletişim Faaliyetleri</t>
        </is>
      </c>
      <c r="D103" s="13" t="inlineStr">
        <is>
          <t>B-8.4</t>
        </is>
      </c>
      <c r="E103" s="13" t="inlineStr">
        <is>
          <t>Programlama ve Yayıncılık Faaliyetleri (Kolaylaştırıcı Faaliyet)</t>
        </is>
      </c>
      <c r="F103" s="13" t="inlineStr">
        <is>
          <t>EK-1 faaliyet başlığıdır. Ayrıntılı kapsam ve eşikler için yayımlanacak resmi teknik tarama kriterleri incelenmelidir.</t>
        </is>
      </c>
      <c r="G103" s="13" t="inlineStr"/>
      <c r="H103" s="13" t="inlineStr">
        <is>
          <t>Kolaylaştırıcı Faaliyet</t>
        </is>
      </c>
      <c r="I103" s="13" t="inlineStr">
        <is>
          <t>Evet</t>
        </is>
      </c>
      <c r="J103" s="13" t="inlineStr">
        <is>
          <t>Hayır</t>
        </is>
      </c>
      <c r="K103" s="13" t="inlineStr"/>
      <c r="L103" s="13" t="inlineStr">
        <is>
          <t>Evet</t>
        </is>
      </c>
      <c r="M103" s="13" t="inlineStr"/>
      <c r="N103" s="13" t="inlineStr"/>
      <c r="O103" s="13" t="inlineStr"/>
      <c r="P103" s="13" t="inlineStr"/>
      <c r="Q103" s="13" t="inlineStr">
        <is>
          <t>Yayımlanmamış / Doğrulanmalı</t>
        </is>
      </c>
      <c r="R103" s="13" t="inlineStr">
        <is>
          <t>Faaliyet hacmi; enerji, yakıt, su, atık ve sera gazı verileri; hasılat, CAPEX ve OPEX; teknik performans göstergeleri.</t>
        </is>
      </c>
      <c r="S103" s="13" t="inlineStr">
        <is>
          <t>İzin ve ruhsatlar; sayaç/fatura kayıtları; emisyon ve atık beyanları; proje/teknik raporlar; doğrulama ve sosyal koruma belgeleri.</t>
        </is>
      </c>
      <c r="T103" s="13" t="inlineStr">
        <is>
          <t>NACE kodu eşleştirmeyi destekler; tek başına taksonomi uyumluluğunu kanıtlamaz.</t>
        </is>
      </c>
      <c r="U103" s="14" t="inlineStr">
        <is>
          <t>Türkiye Yeşil Taksonomisi Yönetmeliği, EK-1</t>
        </is>
      </c>
    </row>
    <row r="104">
      <c r="A104" s="13" t="n">
        <v>102</v>
      </c>
      <c r="B104" s="13" t="n">
        <v>9</v>
      </c>
      <c r="C104" s="13" t="inlineStr">
        <is>
          <t>Mesleki, Bilimsel ve Teknik Faaliyetler</t>
        </is>
      </c>
      <c r="D104" s="13" t="inlineStr">
        <is>
          <t>B-9.4</t>
        </is>
      </c>
      <c r="E104" s="13" t="inlineStr">
        <is>
          <t>İklim Değişikliğine Uyum Sağlamaya Yönelik Mühendislik Faaliyetleri ve İlgili Teknik Danışmanlık</t>
        </is>
      </c>
      <c r="F104" s="13" t="inlineStr">
        <is>
          <t>EK-1 faaliyet başlığıdır. Ayrıntılı kapsam ve eşikler için yayımlanacak resmi teknik tarama kriterleri incelenmelidir.</t>
        </is>
      </c>
      <c r="G104" s="13" t="inlineStr"/>
      <c r="H104" s="13" t="inlineStr">
        <is>
          <t>Kolaylaştırıcı Faaliyet</t>
        </is>
      </c>
      <c r="I104" s="13" t="inlineStr">
        <is>
          <t>Evet</t>
        </is>
      </c>
      <c r="J104" s="13" t="inlineStr">
        <is>
          <t>Hayır</t>
        </is>
      </c>
      <c r="K104" s="13" t="inlineStr"/>
      <c r="L104" s="13" t="inlineStr">
        <is>
          <t>Evet</t>
        </is>
      </c>
      <c r="M104" s="13" t="inlineStr"/>
      <c r="N104" s="13" t="inlineStr"/>
      <c r="O104" s="13" t="inlineStr"/>
      <c r="P104" s="13" t="inlineStr"/>
      <c r="Q104" s="13" t="inlineStr">
        <is>
          <t>Yayımlanmamış / Doğrulanmalı</t>
        </is>
      </c>
      <c r="R104" s="13" t="inlineStr">
        <is>
          <t>Faaliyet hacmi; enerji, yakıt, su, atık ve sera gazı verileri; hasılat, CAPEX ve OPEX; teknik performans göstergeleri.</t>
        </is>
      </c>
      <c r="S104" s="13" t="inlineStr">
        <is>
          <t>İzin ve ruhsatlar; sayaç/fatura kayıtları; emisyon ve atık beyanları; proje/teknik raporlar; doğrulama ve sosyal koruma belgeleri.</t>
        </is>
      </c>
      <c r="T104" s="13" t="inlineStr">
        <is>
          <t>NACE kodu eşleştirmeyi destekler; tek başına taksonomi uyumluluğunu kanıtlamaz.</t>
        </is>
      </c>
      <c r="U104" s="14" t="inlineStr">
        <is>
          <t>Türkiye Yeşil Taksonomisi Yönetmeliği, EK-1</t>
        </is>
      </c>
    </row>
    <row r="105">
      <c r="A105" s="13" t="n">
        <v>103</v>
      </c>
      <c r="B105" s="13" t="n">
        <v>12</v>
      </c>
      <c r="C105" s="13" t="inlineStr">
        <is>
          <t>Sanat, Eğlence ve Rekreasyon Faaliyetleri</t>
        </is>
      </c>
      <c r="D105" s="13" t="inlineStr">
        <is>
          <t>B-10.1</t>
        </is>
      </c>
      <c r="E105" s="13" t="inlineStr">
        <is>
          <t>Kütüphaneler, Arşivler, Müzeler ve Kültürel Faaliyetler (Kolaylaştırıcı Faaliyet)</t>
        </is>
      </c>
      <c r="F105" s="13" t="inlineStr">
        <is>
          <t>EK-1 faaliyet başlığıdır. Ayrıntılı kapsam ve eşikler için yayımlanacak resmi teknik tarama kriterleri incelenmelidir.</t>
        </is>
      </c>
      <c r="G105" s="13" t="inlineStr"/>
      <c r="H105" s="13" t="inlineStr">
        <is>
          <t>Kolaylaştırıcı Faaliyet</t>
        </is>
      </c>
      <c r="I105" s="13" t="inlineStr">
        <is>
          <t>Evet</t>
        </is>
      </c>
      <c r="J105" s="13" t="inlineStr">
        <is>
          <t>Hayır</t>
        </is>
      </c>
      <c r="K105" s="13" t="inlineStr"/>
      <c r="L105" s="13" t="inlineStr">
        <is>
          <t>Evet</t>
        </is>
      </c>
      <c r="M105" s="13" t="inlineStr"/>
      <c r="N105" s="13" t="inlineStr"/>
      <c r="O105" s="13" t="inlineStr"/>
      <c r="P105" s="13" t="inlineStr"/>
      <c r="Q105" s="13" t="inlineStr">
        <is>
          <t>Yayımlanmamış / Doğrulanmalı</t>
        </is>
      </c>
      <c r="R105" s="13" t="inlineStr">
        <is>
          <t>Faaliyet hacmi; enerji, yakıt, su, atık ve sera gazı verileri; hasılat, CAPEX ve OPEX; teknik performans göstergeleri.</t>
        </is>
      </c>
      <c r="S105" s="13" t="inlineStr">
        <is>
          <t>İzin ve ruhsatlar; sayaç/fatura kayıtları; emisyon ve atık beyanları; proje/teknik raporlar; doğrulama ve sosyal koruma belgeleri.</t>
        </is>
      </c>
      <c r="T105" s="13" t="inlineStr">
        <is>
          <t>NACE kodu eşleştirmeyi destekler; tek başına taksonomi uyumluluğunu kanıtlamaz.</t>
        </is>
      </c>
      <c r="U105" s="14" t="inlineStr">
        <is>
          <t>Türkiye Yeşil Taksonomisi Yönetmeliği, EK-1</t>
        </is>
      </c>
    </row>
    <row r="106">
      <c r="A106" s="13" t="n">
        <v>104</v>
      </c>
      <c r="B106" s="13" t="n">
        <v>13</v>
      </c>
      <c r="C106" s="13" t="inlineStr">
        <is>
          <t>Finans ve Sigorta Faaliyetleri</t>
        </is>
      </c>
      <c r="D106" s="13" t="inlineStr">
        <is>
          <t>B-11.1</t>
        </is>
      </c>
      <c r="E106" s="13" t="inlineStr">
        <is>
          <t>Hayat Dışı Sigorta: İklimle İlgili Risklerin Sigortalanması (Kolaylaştırıcı Faaliyet)</t>
        </is>
      </c>
      <c r="F106" s="13" t="inlineStr">
        <is>
          <t>EK-1 faaliyet başlığıdır. Ayrıntılı kapsam ve eşikler için yayımlanacak resmi teknik tarama kriterleri incelenmelidir.</t>
        </is>
      </c>
      <c r="G106" s="13" t="inlineStr"/>
      <c r="H106" s="13" t="inlineStr">
        <is>
          <t>Kolaylaştırıcı Faaliyet</t>
        </is>
      </c>
      <c r="I106" s="13" t="inlineStr">
        <is>
          <t>Evet</t>
        </is>
      </c>
      <c r="J106" s="13" t="inlineStr">
        <is>
          <t>Hayır</t>
        </is>
      </c>
      <c r="K106" s="13" t="inlineStr"/>
      <c r="L106" s="13" t="inlineStr">
        <is>
          <t>Evet</t>
        </is>
      </c>
      <c r="M106" s="13" t="inlineStr"/>
      <c r="N106" s="13" t="inlineStr"/>
      <c r="O106" s="13" t="inlineStr"/>
      <c r="P106" s="13" t="inlineStr"/>
      <c r="Q106" s="13" t="inlineStr">
        <is>
          <t>Yayımlanmamış / Doğrulanmalı</t>
        </is>
      </c>
      <c r="R106" s="13" t="inlineStr">
        <is>
          <t>Faaliyet hacmi; enerji, yakıt, su, atık ve sera gazı verileri; hasılat, CAPEX ve OPEX; teknik performans göstergeleri.</t>
        </is>
      </c>
      <c r="S106" s="13" t="inlineStr">
        <is>
          <t>İzin ve ruhsatlar; sayaç/fatura kayıtları; emisyon ve atık beyanları; proje/teknik raporlar; doğrulama ve sosyal koruma belgeleri.</t>
        </is>
      </c>
      <c r="T106" s="13" t="inlineStr">
        <is>
          <t>NACE kodu eşleştirmeyi destekler; tek başına taksonomi uyumluluğunu kanıtlamaz.</t>
        </is>
      </c>
      <c r="U106" s="14" t="inlineStr">
        <is>
          <t>Türkiye Yeşil Taksonomisi Yönetmeliği, EK-1</t>
        </is>
      </c>
    </row>
    <row r="107">
      <c r="A107" s="13" t="n">
        <v>105</v>
      </c>
      <c r="B107" s="13" t="n">
        <v>13</v>
      </c>
      <c r="C107" s="13" t="inlineStr">
        <is>
          <t>Finans ve Sigorta Faaliyetleri</t>
        </is>
      </c>
      <c r="D107" s="13" t="inlineStr">
        <is>
          <t>B-11.2</t>
        </is>
      </c>
      <c r="E107" s="13" t="inlineStr">
        <is>
          <t>Reasürans (Kolaylaştırıcı Faaliyet)</t>
        </is>
      </c>
      <c r="F107" s="13" t="inlineStr">
        <is>
          <t>EK-1 faaliyet başlığıdır. Ayrıntılı kapsam ve eşikler için yayımlanacak resmi teknik tarama kriterleri incelenmelidir.</t>
        </is>
      </c>
      <c r="G107" s="13" t="inlineStr"/>
      <c r="H107" s="13" t="inlineStr">
        <is>
          <t>Kolaylaştırıcı Faaliyet</t>
        </is>
      </c>
      <c r="I107" s="13" t="inlineStr">
        <is>
          <t>Evet</t>
        </is>
      </c>
      <c r="J107" s="13" t="inlineStr">
        <is>
          <t>Hayır</t>
        </is>
      </c>
      <c r="K107" s="13" t="inlineStr"/>
      <c r="L107" s="13" t="inlineStr">
        <is>
          <t>Evet</t>
        </is>
      </c>
      <c r="M107" s="13" t="inlineStr"/>
      <c r="N107" s="13" t="inlineStr"/>
      <c r="O107" s="13" t="inlineStr"/>
      <c r="P107" s="13" t="inlineStr"/>
      <c r="Q107" s="13" t="inlineStr">
        <is>
          <t>Yayımlanmamış / Doğrulanmalı</t>
        </is>
      </c>
      <c r="R107" s="13" t="inlineStr">
        <is>
          <t>Faaliyet hacmi; enerji, yakıt, su, atık ve sera gazı verileri; hasılat, CAPEX ve OPEX; teknik performans göstergeleri.</t>
        </is>
      </c>
      <c r="S107" s="13" t="inlineStr">
        <is>
          <t>İzin ve ruhsatlar; sayaç/fatura kayıtları; emisyon ve atık beyanları; proje/teknik raporlar; doğrulama ve sosyal koruma belgeleri.</t>
        </is>
      </c>
      <c r="T107" s="13" t="inlineStr">
        <is>
          <t>NACE kodu eşleştirmeyi destekler; tek başına taksonomi uyumluluğunu kanıtlamaz.</t>
        </is>
      </c>
      <c r="U107" s="14" t="inlineStr">
        <is>
          <t>Türkiye Yeşil Taksonomisi Yönetmeliği, EK-1</t>
        </is>
      </c>
    </row>
    <row r="108">
      <c r="A108" s="13" t="n">
        <v>106</v>
      </c>
      <c r="B108" s="13" t="n">
        <v>3</v>
      </c>
      <c r="C108" s="13" t="inlineStr">
        <is>
          <t>İmalat Faaliyetleri</t>
        </is>
      </c>
      <c r="D108" s="13" t="inlineStr">
        <is>
          <t>C-1.1</t>
        </is>
      </c>
      <c r="E108" s="13" t="inlineStr">
        <is>
          <t>Su Tedarik Sistemlerinde Sızıntının Azaltılmasını ve Önlenmesini Sağlayan Sızıntı Kontrol Teknolojilerinin İmalatı, Kurulumu ve İlgili Hizmetler (Kolaylaştırıcı Faaliyet)</t>
        </is>
      </c>
      <c r="F108" s="13" t="inlineStr">
        <is>
          <t>EK-1 faaliyet başlığıdır. Ayrıntılı kapsam ve eşikler için yayımlanacak resmi teknik tarama kriterleri incelenmelidir.</t>
        </is>
      </c>
      <c r="G108" s="13" t="inlineStr"/>
      <c r="H108" s="13" t="inlineStr">
        <is>
          <t>Kolaylaştırıcı Faaliyet</t>
        </is>
      </c>
      <c r="I108" s="13" t="inlineStr">
        <is>
          <t>Evet</t>
        </is>
      </c>
      <c r="J108" s="13" t="inlineStr">
        <is>
          <t>Hayır</t>
        </is>
      </c>
      <c r="K108" s="13" t="inlineStr"/>
      <c r="L108" s="13" t="inlineStr"/>
      <c r="M108" s="13" t="inlineStr">
        <is>
          <t>Evet</t>
        </is>
      </c>
      <c r="N108" s="13" t="inlineStr"/>
      <c r="O108" s="13" t="inlineStr"/>
      <c r="P108" s="13" t="inlineStr"/>
      <c r="Q108" s="13" t="inlineStr">
        <is>
          <t>Yayımlanmamış / Doğrulanmalı</t>
        </is>
      </c>
      <c r="R108" s="13" t="inlineStr">
        <is>
          <t>Faaliyet hacmi; enerji, yakıt, su, atık ve sera gazı verileri; hasılat, CAPEX ve OPEX; teknik performans göstergeleri.</t>
        </is>
      </c>
      <c r="S108" s="13" t="inlineStr">
        <is>
          <t>İzin ve ruhsatlar; sayaç/fatura kayıtları; emisyon ve atık beyanları; proje/teknik raporlar; doğrulama ve sosyal koruma belgeleri.</t>
        </is>
      </c>
      <c r="T108" s="13" t="inlineStr">
        <is>
          <t>NACE kodu eşleştirmeyi destekler; tek başına taksonomi uyumluluğunu kanıtlamaz.</t>
        </is>
      </c>
      <c r="U108" s="14" t="inlineStr">
        <is>
          <t>Türkiye Yeşil Taksonomisi Yönetmeliği, EK-1</t>
        </is>
      </c>
    </row>
    <row r="109">
      <c r="A109" s="13" t="n">
        <v>107</v>
      </c>
      <c r="B109" s="13" t="n">
        <v>5</v>
      </c>
      <c r="C109" s="13" t="inlineStr">
        <is>
          <t>Su Temini, Kanalizasyon, Atık Yönetimi ve İyileştirme Faaliyetleri</t>
        </is>
      </c>
      <c r="D109" s="13" t="inlineStr">
        <is>
          <t>C-2.1</t>
        </is>
      </c>
      <c r="E109" s="13" t="inlineStr">
        <is>
          <t>Su Temini</t>
        </is>
      </c>
      <c r="F109" s="13" t="inlineStr">
        <is>
          <t>EK-1 faaliyet başlığıdır. Ayrıntılı kapsam ve eşikler için yayımlanacak resmi teknik tarama kriterleri incelenmelidir.</t>
        </is>
      </c>
      <c r="G109" s="13" t="inlineStr"/>
      <c r="H109" s="13" t="inlineStr">
        <is>
          <t>Diğer / Genel Faaliyet</t>
        </is>
      </c>
      <c r="I109" s="13" t="inlineStr">
        <is>
          <t>Hayır</t>
        </is>
      </c>
      <c r="J109" s="13" t="inlineStr">
        <is>
          <t>Hayır</t>
        </is>
      </c>
      <c r="K109" s="13" t="inlineStr"/>
      <c r="L109" s="13" t="inlineStr"/>
      <c r="M109" s="13" t="inlineStr">
        <is>
          <t>Evet</t>
        </is>
      </c>
      <c r="N109" s="13" t="inlineStr"/>
      <c r="O109" s="13" t="inlineStr"/>
      <c r="P109" s="13" t="inlineStr"/>
      <c r="Q109" s="13" t="inlineStr">
        <is>
          <t>Yayımlanmamış / Doğrulanmalı</t>
        </is>
      </c>
      <c r="R109" s="13" t="inlineStr">
        <is>
          <t>Faaliyet hacmi; enerji, yakıt, su, atık ve sera gazı verileri; hasılat, CAPEX ve OPEX; teknik performans göstergeleri.</t>
        </is>
      </c>
      <c r="S109" s="13" t="inlineStr">
        <is>
          <t>İzin ve ruhsatlar; sayaç/fatura kayıtları; emisyon ve atık beyanları; proje/teknik raporlar; doğrulama ve sosyal koruma belgeleri.</t>
        </is>
      </c>
      <c r="T109" s="13" t="inlineStr">
        <is>
          <t>NACE kodu eşleştirmeyi destekler; tek başına taksonomi uyumluluğunu kanıtlamaz.</t>
        </is>
      </c>
      <c r="U109" s="14" t="inlineStr">
        <is>
          <t>Türkiye Yeşil Taksonomisi Yönetmeliği, EK-1</t>
        </is>
      </c>
    </row>
    <row r="110">
      <c r="A110" s="13" t="n">
        <v>108</v>
      </c>
      <c r="B110" s="13" t="n">
        <v>5</v>
      </c>
      <c r="C110" s="13" t="inlineStr">
        <is>
          <t>Su Temini, Kanalizasyon, Atık Yönetimi ve İyileştirme Faaliyetleri</t>
        </is>
      </c>
      <c r="D110" s="13" t="inlineStr">
        <is>
          <t>C-2.2</t>
        </is>
      </c>
      <c r="E110" s="13" t="inlineStr">
        <is>
          <t>Kentsel Atıksu Arıtımı</t>
        </is>
      </c>
      <c r="F110" s="13" t="inlineStr">
        <is>
          <t>EK-1 faaliyet başlığıdır. Ayrıntılı kapsam ve eşikler için yayımlanacak resmi teknik tarama kriterleri incelenmelidir.</t>
        </is>
      </c>
      <c r="G110" s="13" t="inlineStr"/>
      <c r="H110" s="13" t="inlineStr">
        <is>
          <t>Diğer / Genel Faaliyet</t>
        </is>
      </c>
      <c r="I110" s="13" t="inlineStr">
        <is>
          <t>Hayır</t>
        </is>
      </c>
      <c r="J110" s="13" t="inlineStr">
        <is>
          <t>Hayır</t>
        </is>
      </c>
      <c r="K110" s="13" t="inlineStr"/>
      <c r="L110" s="13" t="inlineStr"/>
      <c r="M110" s="13" t="inlineStr">
        <is>
          <t>Evet</t>
        </is>
      </c>
      <c r="N110" s="13" t="inlineStr"/>
      <c r="O110" s="13" t="inlineStr"/>
      <c r="P110" s="13" t="inlineStr"/>
      <c r="Q110" s="13" t="inlineStr">
        <is>
          <t>Yayımlanmamış / Doğrulanmalı</t>
        </is>
      </c>
      <c r="R110" s="13" t="inlineStr">
        <is>
          <t>Faaliyet hacmi; enerji, yakıt, su, atık ve sera gazı verileri; hasılat, CAPEX ve OPEX; teknik performans göstergeleri.</t>
        </is>
      </c>
      <c r="S110" s="13" t="inlineStr">
        <is>
          <t>İzin ve ruhsatlar; sayaç/fatura kayıtları; emisyon ve atık beyanları; proje/teknik raporlar; doğrulama ve sosyal koruma belgeleri.</t>
        </is>
      </c>
      <c r="T110" s="13" t="inlineStr">
        <is>
          <t>NACE kodu eşleştirmeyi destekler; tek başına taksonomi uyumluluğunu kanıtlamaz.</t>
        </is>
      </c>
      <c r="U110" s="14" t="inlineStr">
        <is>
          <t>Türkiye Yeşil Taksonomisi Yönetmeliği, EK-1</t>
        </is>
      </c>
    </row>
    <row r="111">
      <c r="A111" s="13" t="n">
        <v>109</v>
      </c>
      <c r="B111" s="13" t="n">
        <v>5</v>
      </c>
      <c r="C111" s="13" t="inlineStr">
        <is>
          <t>Su Temini, Kanalizasyon, Atık Yönetimi ve İyileştirme Faaliyetleri</t>
        </is>
      </c>
      <c r="D111" s="13" t="inlineStr">
        <is>
          <t>C-2.3</t>
        </is>
      </c>
      <c r="E111" s="13" t="inlineStr">
        <is>
          <t>Sürdürülebilir Kentsel Drenaj Sistemleri</t>
        </is>
      </c>
      <c r="F111" s="13" t="inlineStr">
        <is>
          <t>EK-1 faaliyet başlığıdır. Ayrıntılı kapsam ve eşikler için yayımlanacak resmi teknik tarama kriterleri incelenmelidir.</t>
        </is>
      </c>
      <c r="G111" s="13" t="inlineStr"/>
      <c r="H111" s="13" t="inlineStr">
        <is>
          <t>Diğer / Genel Faaliyet</t>
        </is>
      </c>
      <c r="I111" s="13" t="inlineStr">
        <is>
          <t>Hayır</t>
        </is>
      </c>
      <c r="J111" s="13" t="inlineStr">
        <is>
          <t>Hayır</t>
        </is>
      </c>
      <c r="K111" s="13" t="inlineStr"/>
      <c r="L111" s="13" t="inlineStr"/>
      <c r="M111" s="13" t="inlineStr">
        <is>
          <t>Evet</t>
        </is>
      </c>
      <c r="N111" s="13" t="inlineStr"/>
      <c r="O111" s="13" t="inlineStr"/>
      <c r="P111" s="13" t="inlineStr"/>
      <c r="Q111" s="13" t="inlineStr">
        <is>
          <t>Yayımlanmamış / Doğrulanmalı</t>
        </is>
      </c>
      <c r="R111" s="13" t="inlineStr">
        <is>
          <t>Faaliyet hacmi; enerji, yakıt, su, atık ve sera gazı verileri; hasılat, CAPEX ve OPEX; teknik performans göstergeleri.</t>
        </is>
      </c>
      <c r="S111" s="13" t="inlineStr">
        <is>
          <t>İzin ve ruhsatlar; sayaç/fatura kayıtları; emisyon ve atık beyanları; proje/teknik raporlar; doğrulama ve sosyal koruma belgeleri.</t>
        </is>
      </c>
      <c r="T111" s="13" t="inlineStr">
        <is>
          <t>NACE kodu eşleştirmeyi destekler; tek başına taksonomi uyumluluğunu kanıtlamaz.</t>
        </is>
      </c>
      <c r="U111" s="14" t="inlineStr">
        <is>
          <t>Türkiye Yeşil Taksonomisi Yönetmeliği, EK-1</t>
        </is>
      </c>
    </row>
    <row r="112">
      <c r="A112" s="13" t="n">
        <v>110</v>
      </c>
      <c r="B112" s="13" t="n">
        <v>14</v>
      </c>
      <c r="C112" s="13" t="inlineStr">
        <is>
          <t>Afet Risk Yönetimi</t>
        </is>
      </c>
      <c r="D112" s="13" t="inlineStr">
        <is>
          <t>C-3.1</t>
        </is>
      </c>
      <c r="E112" s="13" t="inlineStr">
        <is>
          <t>Sel ve Kuraklık Risklerinin Önlenmesi ve Korunması İçin Doğa Temelli Çözümler</t>
        </is>
      </c>
      <c r="F112" s="13" t="inlineStr">
        <is>
          <t>EK-1 faaliyet başlığıdır. Ayrıntılı kapsam ve eşikler için yayımlanacak resmi teknik tarama kriterleri incelenmelidir.</t>
        </is>
      </c>
      <c r="G112" s="13" t="inlineStr"/>
      <c r="H112" s="13" t="inlineStr">
        <is>
          <t>Diğer / Genel Faaliyet</t>
        </is>
      </c>
      <c r="I112" s="13" t="inlineStr">
        <is>
          <t>Hayır</t>
        </is>
      </c>
      <c r="J112" s="13" t="inlineStr">
        <is>
          <t>Hayır</t>
        </is>
      </c>
      <c r="K112" s="13" t="inlineStr"/>
      <c r="L112" s="13" t="inlineStr"/>
      <c r="M112" s="13" t="inlineStr">
        <is>
          <t>Evet</t>
        </is>
      </c>
      <c r="N112" s="13" t="inlineStr"/>
      <c r="O112" s="13" t="inlineStr"/>
      <c r="P112" s="13" t="inlineStr"/>
      <c r="Q112" s="13" t="inlineStr">
        <is>
          <t>Yayımlanmamış / Doğrulanmalı</t>
        </is>
      </c>
      <c r="R112" s="13" t="inlineStr">
        <is>
          <t>Faaliyet hacmi; enerji, yakıt, su, atık ve sera gazı verileri; hasılat, CAPEX ve OPEX; teknik performans göstergeleri.</t>
        </is>
      </c>
      <c r="S112" s="13" t="inlineStr">
        <is>
          <t>İzin ve ruhsatlar; sayaç/fatura kayıtları; emisyon ve atık beyanları; proje/teknik raporlar; doğrulama ve sosyal koruma belgeleri.</t>
        </is>
      </c>
      <c r="T112" s="13" t="inlineStr">
        <is>
          <t>NACE kodu eşleştirmeyi destekler; tek başına taksonomi uyumluluğunu kanıtlamaz.</t>
        </is>
      </c>
      <c r="U112" s="14" t="inlineStr">
        <is>
          <t>Türkiye Yeşil Taksonomisi Yönetmeliği, EK-1</t>
        </is>
      </c>
    </row>
    <row r="113">
      <c r="A113" s="13" t="n">
        <v>111</v>
      </c>
      <c r="B113" s="13" t="n">
        <v>8</v>
      </c>
      <c r="C113" s="13" t="inlineStr">
        <is>
          <t>Bilgi ve İletişim Faaliyetleri</t>
        </is>
      </c>
      <c r="D113" s="13" t="inlineStr">
        <is>
          <t>C-4.1</t>
        </is>
      </c>
      <c r="E113" s="13" t="inlineStr">
        <is>
          <t>Kaçakların Azaltılması İçin Bilgi Teknolojisi veya Operasyon Teknolojisi Altında Veri Odaklı Çözümlerin Sağlanması (Kolaylaştırıcı Faaliyet)</t>
        </is>
      </c>
      <c r="F113" s="13" t="inlineStr">
        <is>
          <t>EK-1 faaliyet başlığıdır. Ayrıntılı kapsam ve eşikler için yayımlanacak resmi teknik tarama kriterleri incelenmelidir.</t>
        </is>
      </c>
      <c r="G113" s="13" t="inlineStr"/>
      <c r="H113" s="13" t="inlineStr">
        <is>
          <t>Kolaylaştırıcı Faaliyet</t>
        </is>
      </c>
      <c r="I113" s="13" t="inlineStr">
        <is>
          <t>Evet</t>
        </is>
      </c>
      <c r="J113" s="13" t="inlineStr">
        <is>
          <t>Hayır</t>
        </is>
      </c>
      <c r="K113" s="13" t="inlineStr"/>
      <c r="L113" s="13" t="inlineStr"/>
      <c r="M113" s="13" t="inlineStr">
        <is>
          <t>Evet</t>
        </is>
      </c>
      <c r="N113" s="13" t="inlineStr"/>
      <c r="O113" s="13" t="inlineStr"/>
      <c r="P113" s="13" t="inlineStr"/>
      <c r="Q113" s="13" t="inlineStr">
        <is>
          <t>Yayımlanmamış / Doğrulanmalı</t>
        </is>
      </c>
      <c r="R113" s="13" t="inlineStr">
        <is>
          <t>Faaliyet hacmi; enerji, yakıt, su, atık ve sera gazı verileri; hasılat, CAPEX ve OPEX; teknik performans göstergeleri.</t>
        </is>
      </c>
      <c r="S113" s="13" t="inlineStr">
        <is>
          <t>İzin ve ruhsatlar; sayaç/fatura kayıtları; emisyon ve atık beyanları; proje/teknik raporlar; doğrulama ve sosyal koruma belgeleri.</t>
        </is>
      </c>
      <c r="T113" s="13" t="inlineStr">
        <is>
          <t>NACE kodu eşleştirmeyi destekler; tek başına taksonomi uyumluluğunu kanıtlamaz.</t>
        </is>
      </c>
      <c r="U113" s="14" t="inlineStr">
        <is>
          <t>Türkiye Yeşil Taksonomisi Yönetmeliği, EK-1</t>
        </is>
      </c>
    </row>
    <row r="114">
      <c r="A114" s="13" t="n">
        <v>112</v>
      </c>
      <c r="B114" s="13" t="n">
        <v>3</v>
      </c>
      <c r="C114" s="13" t="inlineStr">
        <is>
          <t>İmalat Faaliyetleri</t>
        </is>
      </c>
      <c r="D114" s="13" t="inlineStr">
        <is>
          <t>Ç-1.1</t>
        </is>
      </c>
      <c r="E114" s="13" t="inlineStr">
        <is>
          <t>Plastik Ambalaj Ürünleri İmalatı</t>
        </is>
      </c>
      <c r="F114" s="13" t="inlineStr">
        <is>
          <t>EK-1 faaliyet başlığıdır. Ayrıntılı kapsam ve eşikler için yayımlanacak resmi teknik tarama kriterleri incelenmelidir.</t>
        </is>
      </c>
      <c r="G114" s="13" t="inlineStr"/>
      <c r="H114" s="13" t="inlineStr">
        <is>
          <t>Diğer / Genel Faaliyet</t>
        </is>
      </c>
      <c r="I114" s="13" t="inlineStr">
        <is>
          <t>Hayır</t>
        </is>
      </c>
      <c r="J114" s="13" t="inlineStr">
        <is>
          <t>Hayır</t>
        </is>
      </c>
      <c r="K114" s="13" t="inlineStr"/>
      <c r="L114" s="13" t="inlineStr"/>
      <c r="M114" s="13" t="inlineStr"/>
      <c r="N114" s="13" t="inlineStr">
        <is>
          <t>Evet</t>
        </is>
      </c>
      <c r="O114" s="13" t="inlineStr"/>
      <c r="P114" s="13" t="inlineStr"/>
      <c r="Q114" s="13" t="inlineStr">
        <is>
          <t>Yayımlanmamış / Doğrulanmalı</t>
        </is>
      </c>
      <c r="R114" s="13" t="inlineStr">
        <is>
          <t>Faaliyet hacmi; enerji, yakıt, su, atık ve sera gazı verileri; hasılat, CAPEX ve OPEX; teknik performans göstergeleri.</t>
        </is>
      </c>
      <c r="S114" s="13" t="inlineStr">
        <is>
          <t>İzin ve ruhsatlar; sayaç/fatura kayıtları; emisyon ve atık beyanları; proje/teknik raporlar; doğrulama ve sosyal koruma belgeleri.</t>
        </is>
      </c>
      <c r="T114" s="13" t="inlineStr">
        <is>
          <t>NACE kodu eşleştirmeyi destekler; tek başına taksonomi uyumluluğunu kanıtlamaz.</t>
        </is>
      </c>
      <c r="U114" s="14" t="inlineStr">
        <is>
          <t>Türkiye Yeşil Taksonomisi Yönetmeliği, EK-1</t>
        </is>
      </c>
    </row>
    <row r="115">
      <c r="A115" s="13" t="n">
        <v>113</v>
      </c>
      <c r="B115" s="13" t="n">
        <v>3</v>
      </c>
      <c r="C115" s="13" t="inlineStr">
        <is>
          <t>İmalat Faaliyetleri</t>
        </is>
      </c>
      <c r="D115" s="13" t="inlineStr">
        <is>
          <t>Ç-1.2</t>
        </is>
      </c>
      <c r="E115" s="13" t="inlineStr">
        <is>
          <t>Elektrikli ve Elektronik Ekipman İmalatı</t>
        </is>
      </c>
      <c r="F115" s="13" t="inlineStr">
        <is>
          <t>EK-1 faaliyet başlığıdır. Ayrıntılı kapsam ve eşikler için yayımlanacak resmi teknik tarama kriterleri incelenmelidir.</t>
        </is>
      </c>
      <c r="G115" s="13" t="inlineStr"/>
      <c r="H115" s="13" t="inlineStr">
        <is>
          <t>Diğer / Genel Faaliyet</t>
        </is>
      </c>
      <c r="I115" s="13" t="inlineStr">
        <is>
          <t>Hayır</t>
        </is>
      </c>
      <c r="J115" s="13" t="inlineStr">
        <is>
          <t>Hayır</t>
        </is>
      </c>
      <c r="K115" s="13" t="inlineStr"/>
      <c r="L115" s="13" t="inlineStr"/>
      <c r="M115" s="13" t="inlineStr"/>
      <c r="N115" s="13" t="inlineStr">
        <is>
          <t>Evet</t>
        </is>
      </c>
      <c r="O115" s="13" t="inlineStr"/>
      <c r="P115" s="13" t="inlineStr"/>
      <c r="Q115" s="13" t="inlineStr">
        <is>
          <t>Yayımlanmamış / Doğrulanmalı</t>
        </is>
      </c>
      <c r="R115" s="13" t="inlineStr">
        <is>
          <t>Faaliyet hacmi; enerji, yakıt, su, atık ve sera gazı verileri; hasılat, CAPEX ve OPEX; teknik performans göstergeleri.</t>
        </is>
      </c>
      <c r="S115" s="13" t="inlineStr">
        <is>
          <t>İzin ve ruhsatlar; sayaç/fatura kayıtları; emisyon ve atık beyanları; proje/teknik raporlar; doğrulama ve sosyal koruma belgeleri.</t>
        </is>
      </c>
      <c r="T115" s="13" t="inlineStr">
        <is>
          <t>NACE kodu eşleştirmeyi destekler; tek başına taksonomi uyumluluğunu kanıtlamaz.</t>
        </is>
      </c>
      <c r="U115" s="14" t="inlineStr">
        <is>
          <t>Türkiye Yeşil Taksonomisi Yönetmeliği, EK-1</t>
        </is>
      </c>
    </row>
    <row r="116">
      <c r="A116" s="13" t="n">
        <v>114</v>
      </c>
      <c r="B116" s="13" t="n">
        <v>5</v>
      </c>
      <c r="C116" s="13" t="inlineStr">
        <is>
          <t>Su Temini, Kanalizasyon, Atık Yönetimi ve İyileştirme Faaliyetleri</t>
        </is>
      </c>
      <c r="D116" s="13" t="inlineStr">
        <is>
          <t>Ç-2.1</t>
        </is>
      </c>
      <c r="E116" s="13" t="inlineStr">
        <is>
          <t>Atık Sudan Fosfor Geri Kazanımı</t>
        </is>
      </c>
      <c r="F116" s="13" t="inlineStr">
        <is>
          <t>EK-1 faaliyet başlığıdır. Ayrıntılı kapsam ve eşikler için yayımlanacak resmi teknik tarama kriterleri incelenmelidir.</t>
        </is>
      </c>
      <c r="G116" s="13" t="inlineStr"/>
      <c r="H116" s="13" t="inlineStr">
        <is>
          <t>Diğer / Genel Faaliyet</t>
        </is>
      </c>
      <c r="I116" s="13" t="inlineStr">
        <is>
          <t>Hayır</t>
        </is>
      </c>
      <c r="J116" s="13" t="inlineStr">
        <is>
          <t>Hayır</t>
        </is>
      </c>
      <c r="K116" s="13" t="inlineStr"/>
      <c r="L116" s="13" t="inlineStr"/>
      <c r="M116" s="13" t="inlineStr"/>
      <c r="N116" s="13" t="inlineStr">
        <is>
          <t>Evet</t>
        </is>
      </c>
      <c r="O116" s="13" t="inlineStr"/>
      <c r="P116" s="13" t="inlineStr"/>
      <c r="Q116" s="13" t="inlineStr">
        <is>
          <t>Yayımlanmamış / Doğrulanmalı</t>
        </is>
      </c>
      <c r="R116" s="13" t="inlineStr">
        <is>
          <t>Faaliyet hacmi; enerji, yakıt, su, atık ve sera gazı verileri; hasılat, CAPEX ve OPEX; teknik performans göstergeleri.</t>
        </is>
      </c>
      <c r="S116" s="13" t="inlineStr">
        <is>
          <t>İzin ve ruhsatlar; sayaç/fatura kayıtları; emisyon ve atık beyanları; proje/teknik raporlar; doğrulama ve sosyal koruma belgeleri.</t>
        </is>
      </c>
      <c r="T116" s="13" t="inlineStr">
        <is>
          <t>NACE kodu eşleştirmeyi destekler; tek başına taksonomi uyumluluğunu kanıtlamaz.</t>
        </is>
      </c>
      <c r="U116" s="14" t="inlineStr">
        <is>
          <t>Türkiye Yeşil Taksonomisi Yönetmeliği, EK-1</t>
        </is>
      </c>
    </row>
    <row r="117">
      <c r="A117" s="13" t="n">
        <v>115</v>
      </c>
      <c r="B117" s="13" t="n">
        <v>5</v>
      </c>
      <c r="C117" s="13" t="inlineStr">
        <is>
          <t>Su Temini, Kanalizasyon, Atık Yönetimi ve İyileştirme Faaliyetleri</t>
        </is>
      </c>
      <c r="D117" s="13" t="inlineStr">
        <is>
          <t>Ç-2.2</t>
        </is>
      </c>
      <c r="E117" s="13" t="inlineStr">
        <is>
          <t>İnsan Tüketimi Dışındaki Amaçlar İçin Alternatif Su Kaynaklarının Üretimi</t>
        </is>
      </c>
      <c r="F117" s="13" t="inlineStr">
        <is>
          <t>EK-1 faaliyet başlığıdır. Ayrıntılı kapsam ve eşikler için yayımlanacak resmi teknik tarama kriterleri incelenmelidir.</t>
        </is>
      </c>
      <c r="G117" s="13" t="inlineStr"/>
      <c r="H117" s="13" t="inlineStr">
        <is>
          <t>Diğer / Genel Faaliyet</t>
        </is>
      </c>
      <c r="I117" s="13" t="inlineStr">
        <is>
          <t>Hayır</t>
        </is>
      </c>
      <c r="J117" s="13" t="inlineStr">
        <is>
          <t>Hayır</t>
        </is>
      </c>
      <c r="K117" s="13" t="inlineStr"/>
      <c r="L117" s="13" t="inlineStr"/>
      <c r="M117" s="13" t="inlineStr"/>
      <c r="N117" s="13" t="inlineStr">
        <is>
          <t>Evet</t>
        </is>
      </c>
      <c r="O117" s="13" t="inlineStr"/>
      <c r="P117" s="13" t="inlineStr"/>
      <c r="Q117" s="13" t="inlineStr">
        <is>
          <t>Yayımlanmamış / Doğrulanmalı</t>
        </is>
      </c>
      <c r="R117" s="13" t="inlineStr">
        <is>
          <t>Faaliyet hacmi; enerji, yakıt, su, atık ve sera gazı verileri; hasılat, CAPEX ve OPEX; teknik performans göstergeleri.</t>
        </is>
      </c>
      <c r="S117" s="13" t="inlineStr">
        <is>
          <t>İzin ve ruhsatlar; sayaç/fatura kayıtları; emisyon ve atık beyanları; proje/teknik raporlar; doğrulama ve sosyal koruma belgeleri.</t>
        </is>
      </c>
      <c r="T117" s="13" t="inlineStr">
        <is>
          <t>NACE kodu eşleştirmeyi destekler; tek başına taksonomi uyumluluğunu kanıtlamaz.</t>
        </is>
      </c>
      <c r="U117" s="14" t="inlineStr">
        <is>
          <t>Türkiye Yeşil Taksonomisi Yönetmeliği, EK-1</t>
        </is>
      </c>
    </row>
    <row r="118">
      <c r="A118" s="13" t="n">
        <v>116</v>
      </c>
      <c r="B118" s="13" t="n">
        <v>5</v>
      </c>
      <c r="C118" s="13" t="inlineStr">
        <is>
          <t>Su Temini, Kanalizasyon, Atık Yönetimi ve İyileştirme Faaliyetleri</t>
        </is>
      </c>
      <c r="D118" s="13" t="inlineStr">
        <is>
          <t>Ç-2.3</t>
        </is>
      </c>
      <c r="E118" s="13" t="inlineStr">
        <is>
          <t>Tehlikesiz ve Tehlikeli Atıkların Toplanması ve Taşınması</t>
        </is>
      </c>
      <c r="F118" s="13" t="inlineStr">
        <is>
          <t>EK-1 faaliyet başlığıdır. Ayrıntılı kapsam ve eşikler için yayımlanacak resmi teknik tarama kriterleri incelenmelidir.</t>
        </is>
      </c>
      <c r="G118" s="13" t="inlineStr"/>
      <c r="H118" s="13" t="inlineStr">
        <is>
          <t>Diğer / Genel Faaliyet</t>
        </is>
      </c>
      <c r="I118" s="13" t="inlineStr">
        <is>
          <t>Hayır</t>
        </is>
      </c>
      <c r="J118" s="13" t="inlineStr">
        <is>
          <t>Hayır</t>
        </is>
      </c>
      <c r="K118" s="13" t="inlineStr"/>
      <c r="L118" s="13" t="inlineStr"/>
      <c r="M118" s="13" t="inlineStr"/>
      <c r="N118" s="13" t="inlineStr">
        <is>
          <t>Evet</t>
        </is>
      </c>
      <c r="O118" s="13" t="inlineStr"/>
      <c r="P118" s="13" t="inlineStr"/>
      <c r="Q118" s="13" t="inlineStr">
        <is>
          <t>Yayımlanmamış / Doğrulanmalı</t>
        </is>
      </c>
      <c r="R118" s="13" t="inlineStr">
        <is>
          <t>Faaliyet hacmi; enerji, yakıt, su, atık ve sera gazı verileri; hasılat, CAPEX ve OPEX; teknik performans göstergeleri.</t>
        </is>
      </c>
      <c r="S118" s="13" t="inlineStr">
        <is>
          <t>İzin ve ruhsatlar; sayaç/fatura kayıtları; emisyon ve atık beyanları; proje/teknik raporlar; doğrulama ve sosyal koruma belgeleri.</t>
        </is>
      </c>
      <c r="T118" s="13" t="inlineStr">
        <is>
          <t>NACE kodu eşleştirmeyi destekler; tek başına taksonomi uyumluluğunu kanıtlamaz.</t>
        </is>
      </c>
      <c r="U118" s="14" t="inlineStr">
        <is>
          <t>Türkiye Yeşil Taksonomisi Yönetmeliği, EK-1</t>
        </is>
      </c>
    </row>
    <row r="119">
      <c r="A119" s="13" t="n">
        <v>117</v>
      </c>
      <c r="B119" s="13" t="n">
        <v>5</v>
      </c>
      <c r="C119" s="13" t="inlineStr">
        <is>
          <t>Su Temini, Kanalizasyon, Atık Yönetimi ve İyileştirme Faaliyetleri</t>
        </is>
      </c>
      <c r="D119" s="13" t="inlineStr">
        <is>
          <t>Ç-2.4; D-2.2</t>
        </is>
      </c>
      <c r="E119" s="13" t="inlineStr">
        <is>
          <t>Tehlikeli Atıkların Arıtılması</t>
        </is>
      </c>
      <c r="F119" s="13" t="inlineStr">
        <is>
          <t>EK-1 faaliyet başlığıdır. Ayrıntılı kapsam ve eşikler için yayımlanacak resmi teknik tarama kriterleri incelenmelidir.</t>
        </is>
      </c>
      <c r="G119" s="13" t="inlineStr"/>
      <c r="H119" s="13" t="inlineStr">
        <is>
          <t>Diğer / Genel Faaliyet</t>
        </is>
      </c>
      <c r="I119" s="13" t="inlineStr">
        <is>
          <t>Hayır</t>
        </is>
      </c>
      <c r="J119" s="13" t="inlineStr">
        <is>
          <t>Hayır</t>
        </is>
      </c>
      <c r="K119" s="13" t="inlineStr"/>
      <c r="L119" s="13" t="inlineStr"/>
      <c r="M119" s="13" t="inlineStr"/>
      <c r="N119" s="13" t="inlineStr">
        <is>
          <t>Evet</t>
        </is>
      </c>
      <c r="O119" s="13" t="inlineStr">
        <is>
          <t>Evet</t>
        </is>
      </c>
      <c r="P119" s="13" t="inlineStr"/>
      <c r="Q119" s="13" t="inlineStr">
        <is>
          <t>Yayımlanmamış / Doğrulanmalı</t>
        </is>
      </c>
      <c r="R119" s="13" t="inlineStr">
        <is>
          <t>Faaliyet hacmi; enerji, yakıt, su, atık ve sera gazı verileri; hasılat, CAPEX ve OPEX; teknik performans göstergeleri.</t>
        </is>
      </c>
      <c r="S119" s="13" t="inlineStr">
        <is>
          <t>İzin ve ruhsatlar; sayaç/fatura kayıtları; emisyon ve atık beyanları; proje/teknik raporlar; doğrulama ve sosyal koruma belgeleri.</t>
        </is>
      </c>
      <c r="T119" s="13" t="inlineStr">
        <is>
          <t>NACE kodu eşleştirmeyi destekler; tek başına taksonomi uyumluluğunu kanıtlamaz.</t>
        </is>
      </c>
      <c r="U119" s="14" t="inlineStr">
        <is>
          <t>Türkiye Yeşil Taksonomisi Yönetmeliği, EK-1</t>
        </is>
      </c>
    </row>
    <row r="120">
      <c r="A120" s="13" t="n">
        <v>118</v>
      </c>
      <c r="B120" s="13" t="n">
        <v>5</v>
      </c>
      <c r="C120" s="13" t="inlineStr">
        <is>
          <t>Su Temini, Kanalizasyon, Atık Yönetimi ve İyileştirme Faaliyetleri</t>
        </is>
      </c>
      <c r="D120" s="13" t="inlineStr">
        <is>
          <t>Ç-2.5</t>
        </is>
      </c>
      <c r="E120" s="13" t="inlineStr">
        <is>
          <t>Biyobozunur Atıkların Anaerobik Çürütme veya Kompostlama Yoluyla Geri Kazanımı</t>
        </is>
      </c>
      <c r="F120" s="13" t="inlineStr">
        <is>
          <t>EK-1 faaliyet başlığıdır. Ayrıntılı kapsam ve eşikler için yayımlanacak resmi teknik tarama kriterleri incelenmelidir.</t>
        </is>
      </c>
      <c r="G120" s="13" t="inlineStr"/>
      <c r="H120" s="13" t="inlineStr">
        <is>
          <t>Diğer / Genel Faaliyet</t>
        </is>
      </c>
      <c r="I120" s="13" t="inlineStr">
        <is>
          <t>Hayır</t>
        </is>
      </c>
      <c r="J120" s="13" t="inlineStr">
        <is>
          <t>Hayır</t>
        </is>
      </c>
      <c r="K120" s="13" t="inlineStr"/>
      <c r="L120" s="13" t="inlineStr"/>
      <c r="M120" s="13" t="inlineStr"/>
      <c r="N120" s="13" t="inlineStr">
        <is>
          <t>Evet</t>
        </is>
      </c>
      <c r="O120" s="13" t="inlineStr"/>
      <c r="P120" s="13" t="inlineStr"/>
      <c r="Q120" s="13" t="inlineStr">
        <is>
          <t>Yayımlanmamış / Doğrulanmalı</t>
        </is>
      </c>
      <c r="R120" s="13" t="inlineStr">
        <is>
          <t>Faaliyet hacmi; enerji, yakıt, su, atık ve sera gazı verileri; hasılat, CAPEX ve OPEX; teknik performans göstergeleri.</t>
        </is>
      </c>
      <c r="S120" s="13" t="inlineStr">
        <is>
          <t>İzin ve ruhsatlar; sayaç/fatura kayıtları; emisyon ve atık beyanları; proje/teknik raporlar; doğrulama ve sosyal koruma belgeleri.</t>
        </is>
      </c>
      <c r="T120" s="13" t="inlineStr">
        <is>
          <t>NACE kodu eşleştirmeyi destekler; tek başına taksonomi uyumluluğunu kanıtlamaz.</t>
        </is>
      </c>
      <c r="U120" s="14" t="inlineStr">
        <is>
          <t>Türkiye Yeşil Taksonomisi Yönetmeliği, EK-1</t>
        </is>
      </c>
    </row>
    <row r="121">
      <c r="A121" s="13" t="n">
        <v>119</v>
      </c>
      <c r="B121" s="13" t="n">
        <v>5</v>
      </c>
      <c r="C121" s="13" t="inlineStr">
        <is>
          <t>Su Temini, Kanalizasyon, Atık Yönetimi ve İyileştirme Faaliyetleri</t>
        </is>
      </c>
      <c r="D121" s="13" t="inlineStr">
        <is>
          <t>Ç-2.6</t>
        </is>
      </c>
      <c r="E121" s="13" t="inlineStr">
        <is>
          <t>Ömrünü Tamamlamış Ürünlerin Kirletilmemesi ve Sökülmesi</t>
        </is>
      </c>
      <c r="F121" s="13" t="inlineStr">
        <is>
          <t>EK-1 faaliyet başlığıdır. Ayrıntılı kapsam ve eşikler için yayımlanacak resmi teknik tarama kriterleri incelenmelidir.</t>
        </is>
      </c>
      <c r="G121" s="13" t="inlineStr"/>
      <c r="H121" s="13" t="inlineStr">
        <is>
          <t>Diğer / Genel Faaliyet</t>
        </is>
      </c>
      <c r="I121" s="13" t="inlineStr">
        <is>
          <t>Hayır</t>
        </is>
      </c>
      <c r="J121" s="13" t="inlineStr">
        <is>
          <t>Hayır</t>
        </is>
      </c>
      <c r="K121" s="13" t="inlineStr"/>
      <c r="L121" s="13" t="inlineStr"/>
      <c r="M121" s="13" t="inlineStr"/>
      <c r="N121" s="13" t="inlineStr">
        <is>
          <t>Evet</t>
        </is>
      </c>
      <c r="O121" s="13" t="inlineStr"/>
      <c r="P121" s="13" t="inlineStr"/>
      <c r="Q121" s="13" t="inlineStr">
        <is>
          <t>Yayımlanmamış / Doğrulanmalı</t>
        </is>
      </c>
      <c r="R121" s="13" t="inlineStr">
        <is>
          <t>Faaliyet hacmi; enerji, yakıt, su, atık ve sera gazı verileri; hasılat, CAPEX ve OPEX; teknik performans göstergeleri.</t>
        </is>
      </c>
      <c r="S121" s="13" t="inlineStr">
        <is>
          <t>İzin ve ruhsatlar; sayaç/fatura kayıtları; emisyon ve atık beyanları; proje/teknik raporlar; doğrulama ve sosyal koruma belgeleri.</t>
        </is>
      </c>
      <c r="T121" s="13" t="inlineStr">
        <is>
          <t>NACE kodu eşleştirmeyi destekler; tek başına taksonomi uyumluluğunu kanıtlamaz.</t>
        </is>
      </c>
      <c r="U121" s="14" t="inlineStr">
        <is>
          <t>Türkiye Yeşil Taksonomisi Yönetmeliği, EK-1</t>
        </is>
      </c>
    </row>
    <row r="122">
      <c r="A122" s="13" t="n">
        <v>120</v>
      </c>
      <c r="B122" s="13" t="n">
        <v>5</v>
      </c>
      <c r="C122" s="13" t="inlineStr">
        <is>
          <t>Su Temini, Kanalizasyon, Atık Yönetimi ve İyileştirme Faaliyetleri</t>
        </is>
      </c>
      <c r="D122" s="13" t="inlineStr">
        <is>
          <t>Ç-2.7</t>
        </is>
      </c>
      <c r="E122" s="13" t="inlineStr">
        <is>
          <t>Tehlikesiz Atıkların Ayrıştırılması ve Malzeme Geri Kazanımı</t>
        </is>
      </c>
      <c r="F122" s="13" t="inlineStr">
        <is>
          <t>EK-1 faaliyet başlığıdır. Ayrıntılı kapsam ve eşikler için yayımlanacak resmi teknik tarama kriterleri incelenmelidir.</t>
        </is>
      </c>
      <c r="G122" s="13" t="inlineStr"/>
      <c r="H122" s="13" t="inlineStr">
        <is>
          <t>Diğer / Genel Faaliyet</t>
        </is>
      </c>
      <c r="I122" s="13" t="inlineStr">
        <is>
          <t>Hayır</t>
        </is>
      </c>
      <c r="J122" s="13" t="inlineStr">
        <is>
          <t>Hayır</t>
        </is>
      </c>
      <c r="K122" s="13" t="inlineStr"/>
      <c r="L122" s="13" t="inlineStr"/>
      <c r="M122" s="13" t="inlineStr"/>
      <c r="N122" s="13" t="inlineStr">
        <is>
          <t>Evet</t>
        </is>
      </c>
      <c r="O122" s="13" t="inlineStr"/>
      <c r="P122" s="13" t="inlineStr"/>
      <c r="Q122" s="13" t="inlineStr">
        <is>
          <t>Yayımlanmamış / Doğrulanmalı</t>
        </is>
      </c>
      <c r="R122" s="13" t="inlineStr">
        <is>
          <t>Faaliyet hacmi; enerji, yakıt, su, atık ve sera gazı verileri; hasılat, CAPEX ve OPEX; teknik performans göstergeleri.</t>
        </is>
      </c>
      <c r="S122" s="13" t="inlineStr">
        <is>
          <t>İzin ve ruhsatlar; sayaç/fatura kayıtları; emisyon ve atık beyanları; proje/teknik raporlar; doğrulama ve sosyal koruma belgeleri.</t>
        </is>
      </c>
      <c r="T122" s="13" t="inlineStr">
        <is>
          <t>NACE kodu eşleştirmeyi destekler; tek başına taksonomi uyumluluğunu kanıtlamaz.</t>
        </is>
      </c>
      <c r="U122" s="14" t="inlineStr">
        <is>
          <t>Türkiye Yeşil Taksonomisi Yönetmeliği, EK-1</t>
        </is>
      </c>
    </row>
    <row r="123">
      <c r="A123" s="13" t="n">
        <v>121</v>
      </c>
      <c r="B123" s="13" t="n">
        <v>7</v>
      </c>
      <c r="C123" s="13" t="inlineStr">
        <is>
          <t>İnşaat ve Emlak Faaliyetleri</t>
        </is>
      </c>
      <c r="D123" s="13" t="inlineStr">
        <is>
          <t>Ç-3.3</t>
        </is>
      </c>
      <c r="E123" s="13" t="inlineStr">
        <is>
          <t>Binaların ve Diğer Yapıların Yıkımı ve Enkazı</t>
        </is>
      </c>
      <c r="F123" s="13" t="inlineStr">
        <is>
          <t>EK-1 faaliyet başlığıdır. Ayrıntılı kapsam ve eşikler için yayımlanacak resmi teknik tarama kriterleri incelenmelidir.</t>
        </is>
      </c>
      <c r="G123" s="13" t="inlineStr"/>
      <c r="H123" s="13" t="inlineStr">
        <is>
          <t>Diğer / Genel Faaliyet</t>
        </is>
      </c>
      <c r="I123" s="13" t="inlineStr">
        <is>
          <t>Hayır</t>
        </is>
      </c>
      <c r="J123" s="13" t="inlineStr">
        <is>
          <t>Hayır</t>
        </is>
      </c>
      <c r="K123" s="13" t="inlineStr"/>
      <c r="L123" s="13" t="inlineStr"/>
      <c r="M123" s="13" t="inlineStr"/>
      <c r="N123" s="13" t="inlineStr">
        <is>
          <t>Evet</t>
        </is>
      </c>
      <c r="O123" s="13" t="inlineStr"/>
      <c r="P123" s="13" t="inlineStr"/>
      <c r="Q123" s="13" t="inlineStr">
        <is>
          <t>Yayımlanmamış / Doğrulanmalı</t>
        </is>
      </c>
      <c r="R123" s="13" t="inlineStr">
        <is>
          <t>Faaliyet hacmi; enerji, yakıt, su, atık ve sera gazı verileri; hasılat, CAPEX ve OPEX; teknik performans göstergeleri.</t>
        </is>
      </c>
      <c r="S123" s="13" t="inlineStr">
        <is>
          <t>İzin ve ruhsatlar; sayaç/fatura kayıtları; emisyon ve atık beyanları; proje/teknik raporlar; doğrulama ve sosyal koruma belgeleri.</t>
        </is>
      </c>
      <c r="T123" s="13" t="inlineStr">
        <is>
          <t>NACE kodu eşleştirmeyi destekler; tek başına taksonomi uyumluluğunu kanıtlamaz.</t>
        </is>
      </c>
      <c r="U123" s="14" t="inlineStr">
        <is>
          <t>Türkiye Yeşil Taksonomisi Yönetmeliği, EK-1</t>
        </is>
      </c>
    </row>
    <row r="124">
      <c r="A124" s="13" t="n">
        <v>122</v>
      </c>
      <c r="B124" s="13" t="n">
        <v>7</v>
      </c>
      <c r="C124" s="13" t="inlineStr">
        <is>
          <t>İnşaat ve Emlak Faaliyetleri</t>
        </is>
      </c>
      <c r="D124" s="13" t="inlineStr">
        <is>
          <t>Ç-3.4</t>
        </is>
      </c>
      <c r="E124" s="13" t="inlineStr">
        <is>
          <t>Yolların ve Otoyolların Bakımı</t>
        </is>
      </c>
      <c r="F124" s="13" t="inlineStr">
        <is>
          <t>EK-1 faaliyet başlığıdır. Ayrıntılı kapsam ve eşikler için yayımlanacak resmi teknik tarama kriterleri incelenmelidir.</t>
        </is>
      </c>
      <c r="G124" s="13" t="inlineStr"/>
      <c r="H124" s="13" t="inlineStr">
        <is>
          <t>Diğer / Genel Faaliyet</t>
        </is>
      </c>
      <c r="I124" s="13" t="inlineStr">
        <is>
          <t>Hayır</t>
        </is>
      </c>
      <c r="J124" s="13" t="inlineStr">
        <is>
          <t>Hayır</t>
        </is>
      </c>
      <c r="K124" s="13" t="inlineStr"/>
      <c r="L124" s="13" t="inlineStr"/>
      <c r="M124" s="13" t="inlineStr"/>
      <c r="N124" s="13" t="inlineStr">
        <is>
          <t>Evet</t>
        </is>
      </c>
      <c r="O124" s="13" t="inlineStr"/>
      <c r="P124" s="13" t="inlineStr"/>
      <c r="Q124" s="13" t="inlineStr">
        <is>
          <t>Yayımlanmamış / Doğrulanmalı</t>
        </is>
      </c>
      <c r="R124" s="13" t="inlineStr">
        <is>
          <t>Faaliyet hacmi; enerji, yakıt, su, atık ve sera gazı verileri; hasılat, CAPEX ve OPEX; teknik performans göstergeleri.</t>
        </is>
      </c>
      <c r="S124" s="13" t="inlineStr">
        <is>
          <t>İzin ve ruhsatlar; sayaç/fatura kayıtları; emisyon ve atık beyanları; proje/teknik raporlar; doğrulama ve sosyal koruma belgeleri.</t>
        </is>
      </c>
      <c r="T124" s="13" t="inlineStr">
        <is>
          <t>NACE kodu eşleştirmeyi destekler; tek başına taksonomi uyumluluğunu kanıtlamaz.</t>
        </is>
      </c>
      <c r="U124" s="14" t="inlineStr">
        <is>
          <t>Türkiye Yeşil Taksonomisi Yönetmeliği, EK-1</t>
        </is>
      </c>
    </row>
    <row r="125">
      <c r="A125" s="13" t="n">
        <v>123</v>
      </c>
      <c r="B125" s="13" t="n">
        <v>7</v>
      </c>
      <c r="C125" s="13" t="inlineStr">
        <is>
          <t>İnşaat ve Emlak Faaliyetleri</t>
        </is>
      </c>
      <c r="D125" s="13" t="inlineStr">
        <is>
          <t>Ç-3.5</t>
        </is>
      </c>
      <c r="E125" s="13" t="inlineStr">
        <is>
          <t>İnşaat Mühendisliğinde Beton Kullanımı</t>
        </is>
      </c>
      <c r="F125" s="13" t="inlineStr">
        <is>
          <t>EK-1 faaliyet başlığıdır. Ayrıntılı kapsam ve eşikler için yayımlanacak resmi teknik tarama kriterleri incelenmelidir.</t>
        </is>
      </c>
      <c r="G125" s="13" t="inlineStr"/>
      <c r="H125" s="13" t="inlineStr">
        <is>
          <t>Diğer / Genel Faaliyet</t>
        </is>
      </c>
      <c r="I125" s="13" t="inlineStr">
        <is>
          <t>Hayır</t>
        </is>
      </c>
      <c r="J125" s="13" t="inlineStr">
        <is>
          <t>Hayır</t>
        </is>
      </c>
      <c r="K125" s="13" t="inlineStr"/>
      <c r="L125" s="13" t="inlineStr"/>
      <c r="M125" s="13" t="inlineStr"/>
      <c r="N125" s="13" t="inlineStr">
        <is>
          <t>Evet</t>
        </is>
      </c>
      <c r="O125" s="13" t="inlineStr"/>
      <c r="P125" s="13" t="inlineStr"/>
      <c r="Q125" s="13" t="inlineStr">
        <is>
          <t>Yayımlanmamış / Doğrulanmalı</t>
        </is>
      </c>
      <c r="R125" s="13" t="inlineStr">
        <is>
          <t>Faaliyet hacmi; enerji, yakıt, su, atık ve sera gazı verileri; hasılat, CAPEX ve OPEX; teknik performans göstergeleri.</t>
        </is>
      </c>
      <c r="S125" s="13" t="inlineStr">
        <is>
          <t>İzin ve ruhsatlar; sayaç/fatura kayıtları; emisyon ve atık beyanları; proje/teknik raporlar; doğrulama ve sosyal koruma belgeleri.</t>
        </is>
      </c>
      <c r="T125" s="13" t="inlineStr">
        <is>
          <t>NACE kodu eşleştirmeyi destekler; tek başına taksonomi uyumluluğunu kanıtlamaz.</t>
        </is>
      </c>
      <c r="U125" s="14" t="inlineStr">
        <is>
          <t>Türkiye Yeşil Taksonomisi Yönetmeliği, EK-1</t>
        </is>
      </c>
    </row>
    <row r="126">
      <c r="A126" s="13" t="n">
        <v>124</v>
      </c>
      <c r="B126" s="13" t="n">
        <v>8</v>
      </c>
      <c r="C126" s="13" t="inlineStr">
        <is>
          <t>Bilgi ve İletişim Faaliyetleri</t>
        </is>
      </c>
      <c r="D126" s="13" t="inlineStr">
        <is>
          <t>Ç-4.1</t>
        </is>
      </c>
      <c r="E126" s="13" t="inlineStr">
        <is>
          <t>BT/OT (Bilgi Teknolojisi/Operasyonel Teknoloji) Veri Odaklı Çözümlerin Sağlanması (Kolaylaştırıcı Faaliyet)</t>
        </is>
      </c>
      <c r="F126" s="13" t="inlineStr">
        <is>
          <t>EK-1 faaliyet başlığıdır. Ayrıntılı kapsam ve eşikler için yayımlanacak resmi teknik tarama kriterleri incelenmelidir.</t>
        </is>
      </c>
      <c r="G126" s="13" t="inlineStr"/>
      <c r="H126" s="13" t="inlineStr">
        <is>
          <t>Kolaylaştırıcı Faaliyet</t>
        </is>
      </c>
      <c r="I126" s="13" t="inlineStr">
        <is>
          <t>Evet</t>
        </is>
      </c>
      <c r="J126" s="13" t="inlineStr">
        <is>
          <t>Hayır</t>
        </is>
      </c>
      <c r="K126" s="13" t="inlineStr"/>
      <c r="L126" s="13" t="inlineStr"/>
      <c r="M126" s="13" t="inlineStr"/>
      <c r="N126" s="13" t="inlineStr">
        <is>
          <t>Evet</t>
        </is>
      </c>
      <c r="O126" s="13" t="inlineStr"/>
      <c r="P126" s="13" t="inlineStr"/>
      <c r="Q126" s="13" t="inlineStr">
        <is>
          <t>Yayımlanmamış / Doğrulanmalı</t>
        </is>
      </c>
      <c r="R126" s="13" t="inlineStr">
        <is>
          <t>Faaliyet hacmi; enerji, yakıt, su, atık ve sera gazı verileri; hasılat, CAPEX ve OPEX; teknik performans göstergeleri.</t>
        </is>
      </c>
      <c r="S126" s="13" t="inlineStr">
        <is>
          <t>İzin ve ruhsatlar; sayaç/fatura kayıtları; emisyon ve atık beyanları; proje/teknik raporlar; doğrulama ve sosyal koruma belgeleri.</t>
        </is>
      </c>
      <c r="T126" s="13" t="inlineStr">
        <is>
          <t>NACE kodu eşleştirmeyi destekler; tek başına taksonomi uyumluluğunu kanıtlamaz.</t>
        </is>
      </c>
      <c r="U126" s="14" t="inlineStr">
        <is>
          <t>Türkiye Yeşil Taksonomisi Yönetmeliği, EK-1</t>
        </is>
      </c>
    </row>
    <row r="127">
      <c r="A127" s="13" t="n">
        <v>125</v>
      </c>
      <c r="B127" s="13" t="n">
        <v>15</v>
      </c>
      <c r="C127" s="13" t="inlineStr">
        <is>
          <t>Hizmet Faaliyetleri</t>
        </is>
      </c>
      <c r="D127" s="13" t="inlineStr">
        <is>
          <t>Ç-5.1</t>
        </is>
      </c>
      <c r="E127" s="13" t="inlineStr">
        <is>
          <t>Onarım, Yenileme ve Yeniden Üretim</t>
        </is>
      </c>
      <c r="F127" s="13" t="inlineStr">
        <is>
          <t>EK-1 faaliyet başlığıdır. Ayrıntılı kapsam ve eşikler için yayımlanacak resmi teknik tarama kriterleri incelenmelidir.</t>
        </is>
      </c>
      <c r="G127" s="13" t="inlineStr"/>
      <c r="H127" s="13" t="inlineStr">
        <is>
          <t>Diğer / Genel Faaliyet</t>
        </is>
      </c>
      <c r="I127" s="13" t="inlineStr">
        <is>
          <t>Hayır</t>
        </is>
      </c>
      <c r="J127" s="13" t="inlineStr">
        <is>
          <t>Hayır</t>
        </is>
      </c>
      <c r="K127" s="13" t="inlineStr"/>
      <c r="L127" s="13" t="inlineStr"/>
      <c r="M127" s="13" t="inlineStr"/>
      <c r="N127" s="13" t="inlineStr">
        <is>
          <t>Evet</t>
        </is>
      </c>
      <c r="O127" s="13" t="inlineStr"/>
      <c r="P127" s="13" t="inlineStr"/>
      <c r="Q127" s="13" t="inlineStr">
        <is>
          <t>Yayımlanmamış / Doğrulanmalı</t>
        </is>
      </c>
      <c r="R127" s="13" t="inlineStr">
        <is>
          <t>Faaliyet hacmi; enerji, yakıt, su, atık ve sera gazı verileri; hasılat, CAPEX ve OPEX; teknik performans göstergeleri.</t>
        </is>
      </c>
      <c r="S127" s="13" t="inlineStr">
        <is>
          <t>İzin ve ruhsatlar; sayaç/fatura kayıtları; emisyon ve atık beyanları; proje/teknik raporlar; doğrulama ve sosyal koruma belgeleri.</t>
        </is>
      </c>
      <c r="T127" s="13" t="inlineStr">
        <is>
          <t>NACE kodu eşleştirmeyi destekler; tek başına taksonomi uyumluluğunu kanıtlamaz.</t>
        </is>
      </c>
      <c r="U127" s="14" t="inlineStr">
        <is>
          <t>Türkiye Yeşil Taksonomisi Yönetmeliği, EK-1</t>
        </is>
      </c>
    </row>
    <row r="128">
      <c r="A128" s="13" t="n">
        <v>126</v>
      </c>
      <c r="B128" s="13" t="n">
        <v>15</v>
      </c>
      <c r="C128" s="13" t="inlineStr">
        <is>
          <t>Hizmet Faaliyetleri</t>
        </is>
      </c>
      <c r="D128" s="13" t="inlineStr">
        <is>
          <t>Ç-5.2</t>
        </is>
      </c>
      <c r="E128" s="13" t="inlineStr">
        <is>
          <t>Yedek Parça Satışı</t>
        </is>
      </c>
      <c r="F128" s="13" t="inlineStr">
        <is>
          <t>EK-1 faaliyet başlığıdır. Ayrıntılı kapsam ve eşikler için yayımlanacak resmi teknik tarama kriterleri incelenmelidir.</t>
        </is>
      </c>
      <c r="G128" s="13" t="inlineStr"/>
      <c r="H128" s="13" t="inlineStr">
        <is>
          <t>Diğer / Genel Faaliyet</t>
        </is>
      </c>
      <c r="I128" s="13" t="inlineStr">
        <is>
          <t>Hayır</t>
        </is>
      </c>
      <c r="J128" s="13" t="inlineStr">
        <is>
          <t>Hayır</t>
        </is>
      </c>
      <c r="K128" s="13" t="inlineStr"/>
      <c r="L128" s="13" t="inlineStr"/>
      <c r="M128" s="13" t="inlineStr"/>
      <c r="N128" s="13" t="inlineStr">
        <is>
          <t>Evet</t>
        </is>
      </c>
      <c r="O128" s="13" t="inlineStr"/>
      <c r="P128" s="13" t="inlineStr"/>
      <c r="Q128" s="13" t="inlineStr">
        <is>
          <t>Yayımlanmamış / Doğrulanmalı</t>
        </is>
      </c>
      <c r="R128" s="13" t="inlineStr">
        <is>
          <t>Faaliyet hacmi; enerji, yakıt, su, atık ve sera gazı verileri; hasılat, CAPEX ve OPEX; teknik performans göstergeleri.</t>
        </is>
      </c>
      <c r="S128" s="13" t="inlineStr">
        <is>
          <t>İzin ve ruhsatlar; sayaç/fatura kayıtları; emisyon ve atık beyanları; proje/teknik raporlar; doğrulama ve sosyal koruma belgeleri.</t>
        </is>
      </c>
      <c r="T128" s="13" t="inlineStr">
        <is>
          <t>NACE kodu eşleştirmeyi destekler; tek başına taksonomi uyumluluğunu kanıtlamaz.</t>
        </is>
      </c>
      <c r="U128" s="14" t="inlineStr">
        <is>
          <t>Türkiye Yeşil Taksonomisi Yönetmeliği, EK-1</t>
        </is>
      </c>
    </row>
    <row r="129">
      <c r="A129" s="13" t="n">
        <v>127</v>
      </c>
      <c r="B129" s="13" t="n">
        <v>15</v>
      </c>
      <c r="C129" s="13" t="inlineStr">
        <is>
          <t>Hizmet Faaliyetleri</t>
        </is>
      </c>
      <c r="D129" s="13" t="inlineStr">
        <is>
          <t>Ç-5.3</t>
        </is>
      </c>
      <c r="E129" s="13" t="inlineStr">
        <is>
          <t>Ömrünü Tamamlamış Ürünlerin ve Ürün Bileşenlerinin Yeniden Kullanımı İçin Hazırlık</t>
        </is>
      </c>
      <c r="F129" s="13" t="inlineStr">
        <is>
          <t>EK-1 faaliyet başlığıdır. Ayrıntılı kapsam ve eşikler için yayımlanacak resmi teknik tarama kriterleri incelenmelidir.</t>
        </is>
      </c>
      <c r="G129" s="13" t="inlineStr"/>
      <c r="H129" s="13" t="inlineStr">
        <is>
          <t>Diğer / Genel Faaliyet</t>
        </is>
      </c>
      <c r="I129" s="13" t="inlineStr">
        <is>
          <t>Hayır</t>
        </is>
      </c>
      <c r="J129" s="13" t="inlineStr">
        <is>
          <t>Hayır</t>
        </is>
      </c>
      <c r="K129" s="13" t="inlineStr"/>
      <c r="L129" s="13" t="inlineStr"/>
      <c r="M129" s="13" t="inlineStr"/>
      <c r="N129" s="13" t="inlineStr">
        <is>
          <t>Evet</t>
        </is>
      </c>
      <c r="O129" s="13" t="inlineStr"/>
      <c r="P129" s="13" t="inlineStr"/>
      <c r="Q129" s="13" t="inlineStr">
        <is>
          <t>Yayımlanmamış / Doğrulanmalı</t>
        </is>
      </c>
      <c r="R129" s="13" t="inlineStr">
        <is>
          <t>Faaliyet hacmi; enerji, yakıt, su, atık ve sera gazı verileri; hasılat, CAPEX ve OPEX; teknik performans göstergeleri.</t>
        </is>
      </c>
      <c r="S129" s="13" t="inlineStr">
        <is>
          <t>İzin ve ruhsatlar; sayaç/fatura kayıtları; emisyon ve atık beyanları; proje/teknik raporlar; doğrulama ve sosyal koruma belgeleri.</t>
        </is>
      </c>
      <c r="T129" s="13" t="inlineStr">
        <is>
          <t>NACE kodu eşleştirmeyi destekler; tek başına taksonomi uyumluluğunu kanıtlamaz.</t>
        </is>
      </c>
      <c r="U129" s="14" t="inlineStr">
        <is>
          <t>Türkiye Yeşil Taksonomisi Yönetmeliği, EK-1</t>
        </is>
      </c>
    </row>
    <row r="130">
      <c r="A130" s="13" t="n">
        <v>128</v>
      </c>
      <c r="B130" s="13" t="n">
        <v>15</v>
      </c>
      <c r="C130" s="13" t="inlineStr">
        <is>
          <t>Hizmet Faaliyetleri</t>
        </is>
      </c>
      <c r="D130" s="13" t="inlineStr">
        <is>
          <t>Ç-5.4</t>
        </is>
      </c>
      <c r="E130" s="13" t="inlineStr">
        <is>
          <t>İkinci El Malların Satışı</t>
        </is>
      </c>
      <c r="F130" s="13" t="inlineStr">
        <is>
          <t>EK-1 faaliyet başlığıdır. Ayrıntılı kapsam ve eşikler için yayımlanacak resmi teknik tarama kriterleri incelenmelidir.</t>
        </is>
      </c>
      <c r="G130" s="13" t="inlineStr"/>
      <c r="H130" s="13" t="inlineStr">
        <is>
          <t>Diğer / Genel Faaliyet</t>
        </is>
      </c>
      <c r="I130" s="13" t="inlineStr">
        <is>
          <t>Hayır</t>
        </is>
      </c>
      <c r="J130" s="13" t="inlineStr">
        <is>
          <t>Hayır</t>
        </is>
      </c>
      <c r="K130" s="13" t="inlineStr"/>
      <c r="L130" s="13" t="inlineStr"/>
      <c r="M130" s="13" t="inlineStr"/>
      <c r="N130" s="13" t="inlineStr">
        <is>
          <t>Evet</t>
        </is>
      </c>
      <c r="O130" s="13" t="inlineStr"/>
      <c r="P130" s="13" t="inlineStr"/>
      <c r="Q130" s="13" t="inlineStr">
        <is>
          <t>Yayımlanmamış / Doğrulanmalı</t>
        </is>
      </c>
      <c r="R130" s="13" t="inlineStr">
        <is>
          <t>Faaliyet hacmi; enerji, yakıt, su, atık ve sera gazı verileri; hasılat, CAPEX ve OPEX; teknik performans göstergeleri.</t>
        </is>
      </c>
      <c r="S130" s="13" t="inlineStr">
        <is>
          <t>İzin ve ruhsatlar; sayaç/fatura kayıtları; emisyon ve atık beyanları; proje/teknik raporlar; doğrulama ve sosyal koruma belgeleri.</t>
        </is>
      </c>
      <c r="T130" s="13" t="inlineStr">
        <is>
          <t>NACE kodu eşleştirmeyi destekler; tek başına taksonomi uyumluluğunu kanıtlamaz.</t>
        </is>
      </c>
      <c r="U130" s="14" t="inlineStr">
        <is>
          <t>Türkiye Yeşil Taksonomisi Yönetmeliği, EK-1</t>
        </is>
      </c>
    </row>
    <row r="131">
      <c r="A131" s="13" t="n">
        <v>129</v>
      </c>
      <c r="B131" s="13" t="n">
        <v>15</v>
      </c>
      <c r="C131" s="13" t="inlineStr">
        <is>
          <t>Hizmet Faaliyetleri</t>
        </is>
      </c>
      <c r="D131" s="13" t="inlineStr">
        <is>
          <t>Ç-5.5</t>
        </is>
      </c>
      <c r="E131" s="13" t="inlineStr">
        <is>
          <t>Hizmet Olarak Ürün ve Diğer Döngüsel Kullanım ve Sonuç Odaklı Hizmet Modelleri</t>
        </is>
      </c>
      <c r="F131" s="13" t="inlineStr">
        <is>
          <t>EK-1 faaliyet başlığıdır. Ayrıntılı kapsam ve eşikler için yayımlanacak resmi teknik tarama kriterleri incelenmelidir.</t>
        </is>
      </c>
      <c r="G131" s="13" t="inlineStr"/>
      <c r="H131" s="13" t="inlineStr">
        <is>
          <t>Diğer / Genel Faaliyet</t>
        </is>
      </c>
      <c r="I131" s="13" t="inlineStr">
        <is>
          <t>Hayır</t>
        </is>
      </c>
      <c r="J131" s="13" t="inlineStr">
        <is>
          <t>Hayır</t>
        </is>
      </c>
      <c r="K131" s="13" t="inlineStr"/>
      <c r="L131" s="13" t="inlineStr"/>
      <c r="M131" s="13" t="inlineStr"/>
      <c r="N131" s="13" t="inlineStr">
        <is>
          <t>Evet</t>
        </is>
      </c>
      <c r="O131" s="13" t="inlineStr"/>
      <c r="P131" s="13" t="inlineStr"/>
      <c r="Q131" s="13" t="inlineStr">
        <is>
          <t>Yayımlanmamış / Doğrulanmalı</t>
        </is>
      </c>
      <c r="R131" s="13" t="inlineStr">
        <is>
          <t>Faaliyet hacmi; enerji, yakıt, su, atık ve sera gazı verileri; hasılat, CAPEX ve OPEX; teknik performans göstergeleri.</t>
        </is>
      </c>
      <c r="S131" s="13" t="inlineStr">
        <is>
          <t>İzin ve ruhsatlar; sayaç/fatura kayıtları; emisyon ve atık beyanları; proje/teknik raporlar; doğrulama ve sosyal koruma belgeleri.</t>
        </is>
      </c>
      <c r="T131" s="13" t="inlineStr">
        <is>
          <t>NACE kodu eşleştirmeyi destekler; tek başına taksonomi uyumluluğunu kanıtlamaz.</t>
        </is>
      </c>
      <c r="U131" s="14" t="inlineStr">
        <is>
          <t>Türkiye Yeşil Taksonomisi Yönetmeliği, EK-1</t>
        </is>
      </c>
    </row>
    <row r="132">
      <c r="A132" s="13" t="n">
        <v>130</v>
      </c>
      <c r="B132" s="13" t="n">
        <v>15</v>
      </c>
      <c r="C132" s="13" t="inlineStr">
        <is>
          <t>Hizmet Faaliyetleri</t>
        </is>
      </c>
      <c r="D132" s="13" t="inlineStr">
        <is>
          <t>Ç-5.6</t>
        </is>
      </c>
      <c r="E132" s="13" t="inlineStr">
        <is>
          <t>Yeniden Kullanım İçin İkinci El Malların Ticaretine Yönelik Pazar Yeri (Kolaylaştırıcı Faaliyet)</t>
        </is>
      </c>
      <c r="F132" s="13" t="inlineStr">
        <is>
          <t>EK-1 faaliyet başlığıdır. Ayrıntılı kapsam ve eşikler için yayımlanacak resmi teknik tarama kriterleri incelenmelidir.</t>
        </is>
      </c>
      <c r="G132" s="13" t="inlineStr"/>
      <c r="H132" s="13" t="inlineStr">
        <is>
          <t>Kolaylaştırıcı Faaliyet</t>
        </is>
      </c>
      <c r="I132" s="13" t="inlineStr">
        <is>
          <t>Evet</t>
        </is>
      </c>
      <c r="J132" s="13" t="inlineStr">
        <is>
          <t>Hayır</t>
        </is>
      </c>
      <c r="K132" s="13" t="inlineStr"/>
      <c r="L132" s="13" t="inlineStr"/>
      <c r="M132" s="13" t="inlineStr"/>
      <c r="N132" s="13" t="inlineStr">
        <is>
          <t>Evet</t>
        </is>
      </c>
      <c r="O132" s="13" t="inlineStr"/>
      <c r="P132" s="13" t="inlineStr"/>
      <c r="Q132" s="13" t="inlineStr">
        <is>
          <t>Yayımlanmamış / Doğrulanmalı</t>
        </is>
      </c>
      <c r="R132" s="13" t="inlineStr">
        <is>
          <t>Faaliyet hacmi; enerji, yakıt, su, atık ve sera gazı verileri; hasılat, CAPEX ve OPEX; teknik performans göstergeleri.</t>
        </is>
      </c>
      <c r="S132" s="13" t="inlineStr">
        <is>
          <t>İzin ve ruhsatlar; sayaç/fatura kayıtları; emisyon ve atık beyanları; proje/teknik raporlar; doğrulama ve sosyal koruma belgeleri.</t>
        </is>
      </c>
      <c r="T132" s="13" t="inlineStr">
        <is>
          <t>NACE kodu eşleştirmeyi destekler; tek başına taksonomi uyumluluğunu kanıtlamaz.</t>
        </is>
      </c>
      <c r="U132" s="14" t="inlineStr">
        <is>
          <t>Türkiye Yeşil Taksonomisi Yönetmeliği, EK-1</t>
        </is>
      </c>
    </row>
    <row r="133">
      <c r="A133" s="13" t="n">
        <v>131</v>
      </c>
      <c r="B133" s="13" t="n">
        <v>3</v>
      </c>
      <c r="C133" s="13" t="inlineStr">
        <is>
          <t>İmalat Faaliyetleri</t>
        </is>
      </c>
      <c r="D133" s="13" t="inlineStr">
        <is>
          <t>D-1.1</t>
        </is>
      </c>
      <c r="E133" s="13" t="inlineStr">
        <is>
          <t>Aktif Farmasötik Bileşenlerin veya Aktif Maddelerin İmalatı</t>
        </is>
      </c>
      <c r="F133" s="13" t="inlineStr">
        <is>
          <t>EK-1 faaliyet başlığıdır. Ayrıntılı kapsam ve eşikler için yayımlanacak resmi teknik tarama kriterleri incelenmelidir.</t>
        </is>
      </c>
      <c r="G133" s="13" t="inlineStr"/>
      <c r="H133" s="13" t="inlineStr">
        <is>
          <t>Diğer / Genel Faaliyet</t>
        </is>
      </c>
      <c r="I133" s="13" t="inlineStr">
        <is>
          <t>Hayır</t>
        </is>
      </c>
      <c r="J133" s="13" t="inlineStr">
        <is>
          <t>Hayır</t>
        </is>
      </c>
      <c r="K133" s="13" t="inlineStr"/>
      <c r="L133" s="13" t="inlineStr"/>
      <c r="M133" s="13" t="inlineStr"/>
      <c r="N133" s="13" t="inlineStr"/>
      <c r="O133" s="13" t="inlineStr">
        <is>
          <t>Evet</t>
        </is>
      </c>
      <c r="P133" s="13" t="inlineStr"/>
      <c r="Q133" s="13" t="inlineStr">
        <is>
          <t>Yayımlanmamış / Doğrulanmalı</t>
        </is>
      </c>
      <c r="R133" s="13" t="inlineStr">
        <is>
          <t>Faaliyet hacmi; enerji, yakıt, su, atık ve sera gazı verileri; hasılat, CAPEX ve OPEX; teknik performans göstergeleri.</t>
        </is>
      </c>
      <c r="S133" s="13" t="inlineStr">
        <is>
          <t>İzin ve ruhsatlar; sayaç/fatura kayıtları; emisyon ve atık beyanları; proje/teknik raporlar; doğrulama ve sosyal koruma belgeleri.</t>
        </is>
      </c>
      <c r="T133" s="13" t="inlineStr">
        <is>
          <t>NACE kodu eşleştirmeyi destekler; tek başına taksonomi uyumluluğunu kanıtlamaz.</t>
        </is>
      </c>
      <c r="U133" s="14" t="inlineStr">
        <is>
          <t>Türkiye Yeşil Taksonomisi Yönetmeliği, EK-1</t>
        </is>
      </c>
    </row>
    <row r="134">
      <c r="A134" s="13" t="n">
        <v>132</v>
      </c>
      <c r="B134" s="13" t="n">
        <v>3</v>
      </c>
      <c r="C134" s="13" t="inlineStr">
        <is>
          <t>İmalat Faaliyetleri</t>
        </is>
      </c>
      <c r="D134" s="13" t="inlineStr">
        <is>
          <t>D-1.2</t>
        </is>
      </c>
      <c r="E134" s="13" t="inlineStr">
        <is>
          <t>Tıbbi Ürünlerin İmalatı</t>
        </is>
      </c>
      <c r="F134" s="13" t="inlineStr">
        <is>
          <t>EK-1 faaliyet başlığıdır. Ayrıntılı kapsam ve eşikler için yayımlanacak resmi teknik tarama kriterleri incelenmelidir.</t>
        </is>
      </c>
      <c r="G134" s="13" t="inlineStr"/>
      <c r="H134" s="13" t="inlineStr">
        <is>
          <t>Diğer / Genel Faaliyet</t>
        </is>
      </c>
      <c r="I134" s="13" t="inlineStr">
        <is>
          <t>Hayır</t>
        </is>
      </c>
      <c r="J134" s="13" t="inlineStr">
        <is>
          <t>Hayır</t>
        </is>
      </c>
      <c r="K134" s="13" t="inlineStr"/>
      <c r="L134" s="13" t="inlineStr"/>
      <c r="M134" s="13" t="inlineStr"/>
      <c r="N134" s="13" t="inlineStr"/>
      <c r="O134" s="13" t="inlineStr">
        <is>
          <t>Evet</t>
        </is>
      </c>
      <c r="P134" s="13" t="inlineStr"/>
      <c r="Q134" s="13" t="inlineStr">
        <is>
          <t>Yayımlanmamış / Doğrulanmalı</t>
        </is>
      </c>
      <c r="R134" s="13" t="inlineStr">
        <is>
          <t>Faaliyet hacmi; enerji, yakıt, su, atık ve sera gazı verileri; hasılat, CAPEX ve OPEX; teknik performans göstergeleri.</t>
        </is>
      </c>
      <c r="S134" s="13" t="inlineStr">
        <is>
          <t>İzin ve ruhsatlar; sayaç/fatura kayıtları; emisyon ve atık beyanları; proje/teknik raporlar; doğrulama ve sosyal koruma belgeleri.</t>
        </is>
      </c>
      <c r="T134" s="13" t="inlineStr">
        <is>
          <t>NACE kodu eşleştirmeyi destekler; tek başına taksonomi uyumluluğunu kanıtlamaz.</t>
        </is>
      </c>
      <c r="U134" s="14" t="inlineStr">
        <is>
          <t>Türkiye Yeşil Taksonomisi Yönetmeliği, EK-1</t>
        </is>
      </c>
    </row>
    <row r="135">
      <c r="A135" s="13" t="n">
        <v>133</v>
      </c>
      <c r="B135" s="13" t="n">
        <v>5</v>
      </c>
      <c r="C135" s="13" t="inlineStr">
        <is>
          <t>Su Temini, Kanalizasyon, Atık Yönetimi ve İyileştirme Faaliyetleri</t>
        </is>
      </c>
      <c r="D135" s="13" t="inlineStr">
        <is>
          <t>D-2.1</t>
        </is>
      </c>
      <c r="E135" s="13" t="inlineStr">
        <is>
          <t>Tehlikeli Atıkların Toplanması ve Taşınması</t>
        </is>
      </c>
      <c r="F135" s="13" t="inlineStr">
        <is>
          <t>EK-1 faaliyet başlığıdır. Ayrıntılı kapsam ve eşikler için yayımlanacak resmi teknik tarama kriterleri incelenmelidir.</t>
        </is>
      </c>
      <c r="G135" s="13" t="inlineStr"/>
      <c r="H135" s="13" t="inlineStr">
        <is>
          <t>Diğer / Genel Faaliyet</t>
        </is>
      </c>
      <c r="I135" s="13" t="inlineStr">
        <is>
          <t>Hayır</t>
        </is>
      </c>
      <c r="J135" s="13" t="inlineStr">
        <is>
          <t>Hayır</t>
        </is>
      </c>
      <c r="K135" s="13" t="inlineStr"/>
      <c r="L135" s="13" t="inlineStr"/>
      <c r="M135" s="13" t="inlineStr"/>
      <c r="N135" s="13" t="inlineStr"/>
      <c r="O135" s="13" t="inlineStr">
        <is>
          <t>Evet</t>
        </is>
      </c>
      <c r="P135" s="13" t="inlineStr"/>
      <c r="Q135" s="13" t="inlineStr">
        <is>
          <t>Yayımlanmamış / Doğrulanmalı</t>
        </is>
      </c>
      <c r="R135" s="13" t="inlineStr">
        <is>
          <t>Faaliyet hacmi; enerji, yakıt, su, atık ve sera gazı verileri; hasılat, CAPEX ve OPEX; teknik performans göstergeleri.</t>
        </is>
      </c>
      <c r="S135" s="13" t="inlineStr">
        <is>
          <t>İzin ve ruhsatlar; sayaç/fatura kayıtları; emisyon ve atık beyanları; proje/teknik raporlar; doğrulama ve sosyal koruma belgeleri.</t>
        </is>
      </c>
      <c r="T135" s="13" t="inlineStr">
        <is>
          <t>NACE kodu eşleştirmeyi destekler; tek başına taksonomi uyumluluğunu kanıtlamaz.</t>
        </is>
      </c>
      <c r="U135" s="14" t="inlineStr">
        <is>
          <t>Türkiye Yeşil Taksonomisi Yönetmeliği, EK-1</t>
        </is>
      </c>
    </row>
    <row r="136">
      <c r="A136" s="13" t="n">
        <v>134</v>
      </c>
      <c r="B136" s="13" t="n">
        <v>5</v>
      </c>
      <c r="C136" s="13" t="inlineStr">
        <is>
          <t>Su Temini, Kanalizasyon, Atık Yönetimi ve İyileştirme Faaliyetleri</t>
        </is>
      </c>
      <c r="D136" s="13" t="inlineStr">
        <is>
          <t>D-2.3</t>
        </is>
      </c>
      <c r="E136" s="13" t="inlineStr">
        <is>
          <t>Yasal Olarak Uygun Olmayan Düzenli Depolama Sahalarının ve Terk Edilmiş veya Yasadışı Atık Depolama Alanlarının İyileştirilmesi</t>
        </is>
      </c>
      <c r="F136" s="13" t="inlineStr">
        <is>
          <t>EK-1 faaliyet başlığıdır. Ayrıntılı kapsam ve eşikler için yayımlanacak resmi teknik tarama kriterleri incelenmelidir.</t>
        </is>
      </c>
      <c r="G136" s="13" t="inlineStr"/>
      <c r="H136" s="13" t="inlineStr">
        <is>
          <t>Diğer / Genel Faaliyet</t>
        </is>
      </c>
      <c r="I136" s="13" t="inlineStr">
        <is>
          <t>Hayır</t>
        </is>
      </c>
      <c r="J136" s="13" t="inlineStr">
        <is>
          <t>Hayır</t>
        </is>
      </c>
      <c r="K136" s="13" t="inlineStr"/>
      <c r="L136" s="13" t="inlineStr"/>
      <c r="M136" s="13" t="inlineStr"/>
      <c r="N136" s="13" t="inlineStr"/>
      <c r="O136" s="13" t="inlineStr">
        <is>
          <t>Evet</t>
        </is>
      </c>
      <c r="P136" s="13" t="inlineStr"/>
      <c r="Q136" s="13" t="inlineStr">
        <is>
          <t>Yayımlanmamış / Doğrulanmalı</t>
        </is>
      </c>
      <c r="R136" s="13" t="inlineStr">
        <is>
          <t>Faaliyet hacmi; enerji, yakıt, su, atık ve sera gazı verileri; hasılat, CAPEX ve OPEX; teknik performans göstergeleri.</t>
        </is>
      </c>
      <c r="S136" s="13" t="inlineStr">
        <is>
          <t>İzin ve ruhsatlar; sayaç/fatura kayıtları; emisyon ve atık beyanları; proje/teknik raporlar; doğrulama ve sosyal koruma belgeleri.</t>
        </is>
      </c>
      <c r="T136" s="13" t="inlineStr">
        <is>
          <t>NACE kodu eşleştirmeyi destekler; tek başına taksonomi uyumluluğunu kanıtlamaz.</t>
        </is>
      </c>
      <c r="U136" s="14" t="inlineStr">
        <is>
          <t>Türkiye Yeşil Taksonomisi Yönetmeliği, EK-1</t>
        </is>
      </c>
    </row>
    <row r="137">
      <c r="A137" s="13" t="n">
        <v>135</v>
      </c>
      <c r="B137" s="13" t="n">
        <v>5</v>
      </c>
      <c r="C137" s="13" t="inlineStr">
        <is>
          <t>Su Temini, Kanalizasyon, Atık Yönetimi ve İyileştirme Faaliyetleri</t>
        </is>
      </c>
      <c r="D137" s="13" t="inlineStr">
        <is>
          <t>D-2.4</t>
        </is>
      </c>
      <c r="E137" s="13" t="inlineStr">
        <is>
          <t>Kirlenmiş Sahaların ve Alanların İyileştirilmesi</t>
        </is>
      </c>
      <c r="F137" s="13" t="inlineStr">
        <is>
          <t>EK-1 faaliyet başlığıdır. Ayrıntılı kapsam ve eşikler için yayımlanacak resmi teknik tarama kriterleri incelenmelidir.</t>
        </is>
      </c>
      <c r="G137" s="13" t="inlineStr"/>
      <c r="H137" s="13" t="inlineStr">
        <is>
          <t>Diğer / Genel Faaliyet</t>
        </is>
      </c>
      <c r="I137" s="13" t="inlineStr">
        <is>
          <t>Hayır</t>
        </is>
      </c>
      <c r="J137" s="13" t="inlineStr">
        <is>
          <t>Hayır</t>
        </is>
      </c>
      <c r="K137" s="13" t="inlineStr"/>
      <c r="L137" s="13" t="inlineStr"/>
      <c r="M137" s="13" t="inlineStr"/>
      <c r="N137" s="13" t="inlineStr"/>
      <c r="O137" s="13" t="inlineStr">
        <is>
          <t>Evet</t>
        </is>
      </c>
      <c r="P137" s="13" t="inlineStr"/>
      <c r="Q137" s="13" t="inlineStr">
        <is>
          <t>Yayımlanmamış / Doğrulanmalı</t>
        </is>
      </c>
      <c r="R137" s="13" t="inlineStr">
        <is>
          <t>Faaliyet hacmi; enerji, yakıt, su, atık ve sera gazı verileri; hasılat, CAPEX ve OPEX; teknik performans göstergeleri.</t>
        </is>
      </c>
      <c r="S137" s="13" t="inlineStr">
        <is>
          <t>İzin ve ruhsatlar; sayaç/fatura kayıtları; emisyon ve atık beyanları; proje/teknik raporlar; doğrulama ve sosyal koruma belgeleri.</t>
        </is>
      </c>
      <c r="T137" s="13" t="inlineStr">
        <is>
          <t>NACE kodu eşleştirmeyi destekler; tek başına taksonomi uyumluluğunu kanıtlamaz.</t>
        </is>
      </c>
      <c r="U137" s="14" t="inlineStr">
        <is>
          <t>Türkiye Yeşil Taksonomisi Yönetmeliği, EK-1</t>
        </is>
      </c>
    </row>
    <row r="138">
      <c r="A138" s="13" t="n">
        <v>136</v>
      </c>
      <c r="B138" s="13" t="n">
        <v>2</v>
      </c>
      <c r="C138" s="13" t="inlineStr">
        <is>
          <t>Çevre Koruma ve Restorasyon Faaliyetleri</t>
        </is>
      </c>
      <c r="D138" s="13" t="inlineStr">
        <is>
          <t>E-1.1</t>
        </is>
      </c>
      <c r="E138" s="13" t="inlineStr">
        <is>
          <t>Habitatların, Ekosistemlerin ve Türlerin Restorasyonu da Dahil Olmak Üzere Korunması</t>
        </is>
      </c>
      <c r="F138" s="13" t="inlineStr">
        <is>
          <t>EK-1 faaliyet başlığıdır. Ayrıntılı kapsam ve eşikler için yayımlanacak resmi teknik tarama kriterleri incelenmelidir.</t>
        </is>
      </c>
      <c r="G138" s="13" t="inlineStr"/>
      <c r="H138" s="13" t="inlineStr">
        <is>
          <t>Diğer / Genel Faaliyet</t>
        </is>
      </c>
      <c r="I138" s="13" t="inlineStr">
        <is>
          <t>Hayır</t>
        </is>
      </c>
      <c r="J138" s="13" t="inlineStr">
        <is>
          <t>Hayır</t>
        </is>
      </c>
      <c r="K138" s="13" t="inlineStr"/>
      <c r="L138" s="13" t="inlineStr"/>
      <c r="M138" s="13" t="inlineStr"/>
      <c r="N138" s="13" t="inlineStr"/>
      <c r="O138" s="13" t="inlineStr"/>
      <c r="P138" s="13" t="inlineStr">
        <is>
          <t>Evet</t>
        </is>
      </c>
      <c r="Q138" s="13" t="inlineStr">
        <is>
          <t>Yayımlanmamış / Doğrulanmalı</t>
        </is>
      </c>
      <c r="R138" s="13" t="inlineStr">
        <is>
          <t>Faaliyet hacmi; enerji, yakıt, su, atık ve sera gazı verileri; hasılat, CAPEX ve OPEX; teknik performans göstergeleri.</t>
        </is>
      </c>
      <c r="S138" s="13" t="inlineStr">
        <is>
          <t>İzin ve ruhsatlar; sayaç/fatura kayıtları; emisyon ve atık beyanları; proje/teknik raporlar; doğrulama ve sosyal koruma belgeleri.</t>
        </is>
      </c>
      <c r="T138" s="13" t="inlineStr">
        <is>
          <t>NACE kodu eşleştirmeyi destekler; tek başına taksonomi uyumluluğunu kanıtlamaz.</t>
        </is>
      </c>
      <c r="U138" s="14" t="inlineStr">
        <is>
          <t>Türkiye Yeşil Taksonomisi Yönetmeliği, EK-1</t>
        </is>
      </c>
    </row>
    <row r="139">
      <c r="A139" s="13" t="n">
        <v>137</v>
      </c>
      <c r="B139" s="13" t="n">
        <v>16</v>
      </c>
      <c r="C139" s="13" t="inlineStr">
        <is>
          <t>Konaklama Faaliyetleri</t>
        </is>
      </c>
      <c r="D139" s="13" t="inlineStr">
        <is>
          <t>E-2.1</t>
        </is>
      </c>
      <c r="E139" s="13" t="inlineStr">
        <is>
          <t>Oteller, Tatil, Kamp Alanları ve Benzeri Konaklama Yerleri</t>
        </is>
      </c>
      <c r="F139" s="13" t="inlineStr">
        <is>
          <t>EK-1 faaliyet başlığıdır. Ayrıntılı kapsam ve eşikler için yayımlanacak resmi teknik tarama kriterleri incelenmelidir.</t>
        </is>
      </c>
      <c r="G139" s="13" t="inlineStr"/>
      <c r="H139" s="13" t="inlineStr">
        <is>
          <t>Diğer / Genel Faaliyet</t>
        </is>
      </c>
      <c r="I139" s="13" t="inlineStr">
        <is>
          <t>Hayır</t>
        </is>
      </c>
      <c r="J139" s="13" t="inlineStr">
        <is>
          <t>Hayır</t>
        </is>
      </c>
      <c r="K139" s="13" t="inlineStr"/>
      <c r="L139" s="13" t="inlineStr"/>
      <c r="M139" s="13" t="inlineStr"/>
      <c r="N139" s="13" t="inlineStr"/>
      <c r="O139" s="13" t="inlineStr"/>
      <c r="P139" s="13" t="inlineStr">
        <is>
          <t>Evet</t>
        </is>
      </c>
      <c r="Q139" s="13" t="inlineStr">
        <is>
          <t>Yayımlanmamış / Doğrulanmalı</t>
        </is>
      </c>
      <c r="R139" s="13" t="inlineStr">
        <is>
          <t>Faaliyet hacmi; enerji, yakıt, su, atık ve sera gazı verileri; hasılat, CAPEX ve OPEX; teknik performans göstergeleri.</t>
        </is>
      </c>
      <c r="S139" s="13" t="inlineStr">
        <is>
          <t>İzin ve ruhsatlar; sayaç/fatura kayıtları; emisyon ve atık beyanları; proje/teknik raporlar; doğrulama ve sosyal koruma belgeleri.</t>
        </is>
      </c>
      <c r="T139" s="13" t="inlineStr">
        <is>
          <t>NACE kodu eşleştirmeyi destekler; tek başına taksonomi uyumluluğunu kanıtlamaz.</t>
        </is>
      </c>
      <c r="U139" s="14" t="inlineStr">
        <is>
          <t>Türkiye Yeşil Taksonomisi Yönetmeliği, EK-1</t>
        </is>
      </c>
    </row>
  </sheetData>
  <mergeCells count="1">
    <mergeCell ref="A1:U1"/>
  </mergeCells>
  <hyperlinks>
    <hyperlink xmlns:r="http://schemas.openxmlformats.org/officeDocument/2006/relationships" ref="U3" r:id="rId1"/>
    <hyperlink xmlns:r="http://schemas.openxmlformats.org/officeDocument/2006/relationships" ref="U4" r:id="rId2"/>
    <hyperlink xmlns:r="http://schemas.openxmlformats.org/officeDocument/2006/relationships" ref="U5" r:id="rId3"/>
    <hyperlink xmlns:r="http://schemas.openxmlformats.org/officeDocument/2006/relationships" ref="U6" r:id="rId4"/>
    <hyperlink xmlns:r="http://schemas.openxmlformats.org/officeDocument/2006/relationships" ref="U7" r:id="rId5"/>
    <hyperlink xmlns:r="http://schemas.openxmlformats.org/officeDocument/2006/relationships" ref="U8" r:id="rId6"/>
    <hyperlink xmlns:r="http://schemas.openxmlformats.org/officeDocument/2006/relationships" ref="U9" r:id="rId7"/>
    <hyperlink xmlns:r="http://schemas.openxmlformats.org/officeDocument/2006/relationships" ref="U10" r:id="rId8"/>
    <hyperlink xmlns:r="http://schemas.openxmlformats.org/officeDocument/2006/relationships" ref="U11" r:id="rId9"/>
    <hyperlink xmlns:r="http://schemas.openxmlformats.org/officeDocument/2006/relationships" ref="U12" r:id="rId10"/>
    <hyperlink xmlns:r="http://schemas.openxmlformats.org/officeDocument/2006/relationships" ref="U13" r:id="rId11"/>
    <hyperlink xmlns:r="http://schemas.openxmlformats.org/officeDocument/2006/relationships" ref="U14" r:id="rId12"/>
    <hyperlink xmlns:r="http://schemas.openxmlformats.org/officeDocument/2006/relationships" ref="U15" r:id="rId13"/>
    <hyperlink xmlns:r="http://schemas.openxmlformats.org/officeDocument/2006/relationships" ref="U16" r:id="rId14"/>
    <hyperlink xmlns:r="http://schemas.openxmlformats.org/officeDocument/2006/relationships" ref="U17" r:id="rId15"/>
    <hyperlink xmlns:r="http://schemas.openxmlformats.org/officeDocument/2006/relationships" ref="U18" r:id="rId16"/>
    <hyperlink xmlns:r="http://schemas.openxmlformats.org/officeDocument/2006/relationships" ref="U19" r:id="rId17"/>
    <hyperlink xmlns:r="http://schemas.openxmlformats.org/officeDocument/2006/relationships" ref="U20" r:id="rId18"/>
    <hyperlink xmlns:r="http://schemas.openxmlformats.org/officeDocument/2006/relationships" ref="U21" r:id="rId19"/>
    <hyperlink xmlns:r="http://schemas.openxmlformats.org/officeDocument/2006/relationships" ref="U22" r:id="rId20"/>
    <hyperlink xmlns:r="http://schemas.openxmlformats.org/officeDocument/2006/relationships" ref="U23" r:id="rId21"/>
    <hyperlink xmlns:r="http://schemas.openxmlformats.org/officeDocument/2006/relationships" ref="U24" r:id="rId22"/>
    <hyperlink xmlns:r="http://schemas.openxmlformats.org/officeDocument/2006/relationships" ref="U25" r:id="rId23"/>
    <hyperlink xmlns:r="http://schemas.openxmlformats.org/officeDocument/2006/relationships" ref="U26" r:id="rId24"/>
    <hyperlink xmlns:r="http://schemas.openxmlformats.org/officeDocument/2006/relationships" ref="U27" r:id="rId25"/>
    <hyperlink xmlns:r="http://schemas.openxmlformats.org/officeDocument/2006/relationships" ref="U28" r:id="rId26"/>
    <hyperlink xmlns:r="http://schemas.openxmlformats.org/officeDocument/2006/relationships" ref="U29" r:id="rId27"/>
    <hyperlink xmlns:r="http://schemas.openxmlformats.org/officeDocument/2006/relationships" ref="U30" r:id="rId28"/>
    <hyperlink xmlns:r="http://schemas.openxmlformats.org/officeDocument/2006/relationships" ref="U31" r:id="rId29"/>
    <hyperlink xmlns:r="http://schemas.openxmlformats.org/officeDocument/2006/relationships" ref="U32" r:id="rId30"/>
    <hyperlink xmlns:r="http://schemas.openxmlformats.org/officeDocument/2006/relationships" ref="U33" r:id="rId31"/>
    <hyperlink xmlns:r="http://schemas.openxmlformats.org/officeDocument/2006/relationships" ref="U34" r:id="rId32"/>
    <hyperlink xmlns:r="http://schemas.openxmlformats.org/officeDocument/2006/relationships" ref="U35" r:id="rId33"/>
    <hyperlink xmlns:r="http://schemas.openxmlformats.org/officeDocument/2006/relationships" ref="U36" r:id="rId34"/>
    <hyperlink xmlns:r="http://schemas.openxmlformats.org/officeDocument/2006/relationships" ref="U37" r:id="rId35"/>
    <hyperlink xmlns:r="http://schemas.openxmlformats.org/officeDocument/2006/relationships" ref="U38" r:id="rId36"/>
    <hyperlink xmlns:r="http://schemas.openxmlformats.org/officeDocument/2006/relationships" ref="U39" r:id="rId37"/>
    <hyperlink xmlns:r="http://schemas.openxmlformats.org/officeDocument/2006/relationships" ref="U40" r:id="rId38"/>
    <hyperlink xmlns:r="http://schemas.openxmlformats.org/officeDocument/2006/relationships" ref="U41" r:id="rId39"/>
    <hyperlink xmlns:r="http://schemas.openxmlformats.org/officeDocument/2006/relationships" ref="U42" r:id="rId40"/>
    <hyperlink xmlns:r="http://schemas.openxmlformats.org/officeDocument/2006/relationships" ref="U43" r:id="rId41"/>
    <hyperlink xmlns:r="http://schemas.openxmlformats.org/officeDocument/2006/relationships" ref="U44" r:id="rId42"/>
    <hyperlink xmlns:r="http://schemas.openxmlformats.org/officeDocument/2006/relationships" ref="U45" r:id="rId43"/>
    <hyperlink xmlns:r="http://schemas.openxmlformats.org/officeDocument/2006/relationships" ref="U46" r:id="rId44"/>
    <hyperlink xmlns:r="http://schemas.openxmlformats.org/officeDocument/2006/relationships" ref="U47" r:id="rId45"/>
    <hyperlink xmlns:r="http://schemas.openxmlformats.org/officeDocument/2006/relationships" ref="U48" r:id="rId46"/>
    <hyperlink xmlns:r="http://schemas.openxmlformats.org/officeDocument/2006/relationships" ref="U49" r:id="rId47"/>
    <hyperlink xmlns:r="http://schemas.openxmlformats.org/officeDocument/2006/relationships" ref="U50" r:id="rId48"/>
    <hyperlink xmlns:r="http://schemas.openxmlformats.org/officeDocument/2006/relationships" ref="U51" r:id="rId49"/>
    <hyperlink xmlns:r="http://schemas.openxmlformats.org/officeDocument/2006/relationships" ref="U52" r:id="rId50"/>
    <hyperlink xmlns:r="http://schemas.openxmlformats.org/officeDocument/2006/relationships" ref="U53" r:id="rId51"/>
    <hyperlink xmlns:r="http://schemas.openxmlformats.org/officeDocument/2006/relationships" ref="U54" r:id="rId52"/>
    <hyperlink xmlns:r="http://schemas.openxmlformats.org/officeDocument/2006/relationships" ref="U55" r:id="rId53"/>
    <hyperlink xmlns:r="http://schemas.openxmlformats.org/officeDocument/2006/relationships" ref="U56" r:id="rId54"/>
    <hyperlink xmlns:r="http://schemas.openxmlformats.org/officeDocument/2006/relationships" ref="U57" r:id="rId55"/>
    <hyperlink xmlns:r="http://schemas.openxmlformats.org/officeDocument/2006/relationships" ref="U58" r:id="rId56"/>
    <hyperlink xmlns:r="http://schemas.openxmlformats.org/officeDocument/2006/relationships" ref="U59" r:id="rId57"/>
    <hyperlink xmlns:r="http://schemas.openxmlformats.org/officeDocument/2006/relationships" ref="U60" r:id="rId58"/>
    <hyperlink xmlns:r="http://schemas.openxmlformats.org/officeDocument/2006/relationships" ref="U61" r:id="rId59"/>
    <hyperlink xmlns:r="http://schemas.openxmlformats.org/officeDocument/2006/relationships" ref="U62" r:id="rId60"/>
    <hyperlink xmlns:r="http://schemas.openxmlformats.org/officeDocument/2006/relationships" ref="U63" r:id="rId61"/>
    <hyperlink xmlns:r="http://schemas.openxmlformats.org/officeDocument/2006/relationships" ref="U64" r:id="rId62"/>
    <hyperlink xmlns:r="http://schemas.openxmlformats.org/officeDocument/2006/relationships" ref="U65" r:id="rId63"/>
    <hyperlink xmlns:r="http://schemas.openxmlformats.org/officeDocument/2006/relationships" ref="U66" r:id="rId64"/>
    <hyperlink xmlns:r="http://schemas.openxmlformats.org/officeDocument/2006/relationships" ref="U67" r:id="rId65"/>
    <hyperlink xmlns:r="http://schemas.openxmlformats.org/officeDocument/2006/relationships" ref="U68" r:id="rId66"/>
    <hyperlink xmlns:r="http://schemas.openxmlformats.org/officeDocument/2006/relationships" ref="U69" r:id="rId67"/>
    <hyperlink xmlns:r="http://schemas.openxmlformats.org/officeDocument/2006/relationships" ref="U70" r:id="rId68"/>
    <hyperlink xmlns:r="http://schemas.openxmlformats.org/officeDocument/2006/relationships" ref="U71" r:id="rId69"/>
    <hyperlink xmlns:r="http://schemas.openxmlformats.org/officeDocument/2006/relationships" ref="U72" r:id="rId70"/>
    <hyperlink xmlns:r="http://schemas.openxmlformats.org/officeDocument/2006/relationships" ref="U73" r:id="rId71"/>
    <hyperlink xmlns:r="http://schemas.openxmlformats.org/officeDocument/2006/relationships" ref="U74" r:id="rId72"/>
    <hyperlink xmlns:r="http://schemas.openxmlformats.org/officeDocument/2006/relationships" ref="U75" r:id="rId73"/>
    <hyperlink xmlns:r="http://schemas.openxmlformats.org/officeDocument/2006/relationships" ref="U76" r:id="rId74"/>
    <hyperlink xmlns:r="http://schemas.openxmlformats.org/officeDocument/2006/relationships" ref="U77" r:id="rId75"/>
    <hyperlink xmlns:r="http://schemas.openxmlformats.org/officeDocument/2006/relationships" ref="U78" r:id="rId76"/>
    <hyperlink xmlns:r="http://schemas.openxmlformats.org/officeDocument/2006/relationships" ref="U79" r:id="rId77"/>
    <hyperlink xmlns:r="http://schemas.openxmlformats.org/officeDocument/2006/relationships" ref="U80" r:id="rId78"/>
    <hyperlink xmlns:r="http://schemas.openxmlformats.org/officeDocument/2006/relationships" ref="U81" r:id="rId79"/>
    <hyperlink xmlns:r="http://schemas.openxmlformats.org/officeDocument/2006/relationships" ref="U82" r:id="rId80"/>
    <hyperlink xmlns:r="http://schemas.openxmlformats.org/officeDocument/2006/relationships" ref="U83" r:id="rId81"/>
    <hyperlink xmlns:r="http://schemas.openxmlformats.org/officeDocument/2006/relationships" ref="U84" r:id="rId82"/>
    <hyperlink xmlns:r="http://schemas.openxmlformats.org/officeDocument/2006/relationships" ref="U85" r:id="rId83"/>
    <hyperlink xmlns:r="http://schemas.openxmlformats.org/officeDocument/2006/relationships" ref="U86" r:id="rId84"/>
    <hyperlink xmlns:r="http://schemas.openxmlformats.org/officeDocument/2006/relationships" ref="U87" r:id="rId85"/>
    <hyperlink xmlns:r="http://schemas.openxmlformats.org/officeDocument/2006/relationships" ref="U88" r:id="rId86"/>
    <hyperlink xmlns:r="http://schemas.openxmlformats.org/officeDocument/2006/relationships" ref="U89" r:id="rId87"/>
    <hyperlink xmlns:r="http://schemas.openxmlformats.org/officeDocument/2006/relationships" ref="U90" r:id="rId88"/>
    <hyperlink xmlns:r="http://schemas.openxmlformats.org/officeDocument/2006/relationships" ref="U91" r:id="rId89"/>
    <hyperlink xmlns:r="http://schemas.openxmlformats.org/officeDocument/2006/relationships" ref="U92" r:id="rId90"/>
    <hyperlink xmlns:r="http://schemas.openxmlformats.org/officeDocument/2006/relationships" ref="U93" r:id="rId91"/>
    <hyperlink xmlns:r="http://schemas.openxmlformats.org/officeDocument/2006/relationships" ref="U94" r:id="rId92"/>
    <hyperlink xmlns:r="http://schemas.openxmlformats.org/officeDocument/2006/relationships" ref="U95" r:id="rId93"/>
    <hyperlink xmlns:r="http://schemas.openxmlformats.org/officeDocument/2006/relationships" ref="U96" r:id="rId94"/>
    <hyperlink xmlns:r="http://schemas.openxmlformats.org/officeDocument/2006/relationships" ref="U97" r:id="rId95"/>
    <hyperlink xmlns:r="http://schemas.openxmlformats.org/officeDocument/2006/relationships" ref="U98" r:id="rId96"/>
    <hyperlink xmlns:r="http://schemas.openxmlformats.org/officeDocument/2006/relationships" ref="U99" r:id="rId97"/>
    <hyperlink xmlns:r="http://schemas.openxmlformats.org/officeDocument/2006/relationships" ref="U100" r:id="rId98"/>
    <hyperlink xmlns:r="http://schemas.openxmlformats.org/officeDocument/2006/relationships" ref="U101" r:id="rId99"/>
    <hyperlink xmlns:r="http://schemas.openxmlformats.org/officeDocument/2006/relationships" ref="U102" r:id="rId100"/>
    <hyperlink xmlns:r="http://schemas.openxmlformats.org/officeDocument/2006/relationships" ref="U103" r:id="rId101"/>
    <hyperlink xmlns:r="http://schemas.openxmlformats.org/officeDocument/2006/relationships" ref="U104" r:id="rId102"/>
    <hyperlink xmlns:r="http://schemas.openxmlformats.org/officeDocument/2006/relationships" ref="U105" r:id="rId103"/>
    <hyperlink xmlns:r="http://schemas.openxmlformats.org/officeDocument/2006/relationships" ref="U106" r:id="rId104"/>
    <hyperlink xmlns:r="http://schemas.openxmlformats.org/officeDocument/2006/relationships" ref="U107" r:id="rId105"/>
    <hyperlink xmlns:r="http://schemas.openxmlformats.org/officeDocument/2006/relationships" ref="U108" r:id="rId106"/>
    <hyperlink xmlns:r="http://schemas.openxmlformats.org/officeDocument/2006/relationships" ref="U109" r:id="rId107"/>
    <hyperlink xmlns:r="http://schemas.openxmlformats.org/officeDocument/2006/relationships" ref="U110" r:id="rId108"/>
    <hyperlink xmlns:r="http://schemas.openxmlformats.org/officeDocument/2006/relationships" ref="U111" r:id="rId109"/>
    <hyperlink xmlns:r="http://schemas.openxmlformats.org/officeDocument/2006/relationships" ref="U112" r:id="rId110"/>
    <hyperlink xmlns:r="http://schemas.openxmlformats.org/officeDocument/2006/relationships" ref="U113" r:id="rId111"/>
    <hyperlink xmlns:r="http://schemas.openxmlformats.org/officeDocument/2006/relationships" ref="U114" r:id="rId112"/>
    <hyperlink xmlns:r="http://schemas.openxmlformats.org/officeDocument/2006/relationships" ref="U115" r:id="rId113"/>
    <hyperlink xmlns:r="http://schemas.openxmlformats.org/officeDocument/2006/relationships" ref="U116" r:id="rId114"/>
    <hyperlink xmlns:r="http://schemas.openxmlformats.org/officeDocument/2006/relationships" ref="U117" r:id="rId115"/>
    <hyperlink xmlns:r="http://schemas.openxmlformats.org/officeDocument/2006/relationships" ref="U118" r:id="rId116"/>
    <hyperlink xmlns:r="http://schemas.openxmlformats.org/officeDocument/2006/relationships" ref="U119" r:id="rId117"/>
    <hyperlink xmlns:r="http://schemas.openxmlformats.org/officeDocument/2006/relationships" ref="U120" r:id="rId118"/>
    <hyperlink xmlns:r="http://schemas.openxmlformats.org/officeDocument/2006/relationships" ref="U121" r:id="rId119"/>
    <hyperlink xmlns:r="http://schemas.openxmlformats.org/officeDocument/2006/relationships" ref="U122" r:id="rId120"/>
    <hyperlink xmlns:r="http://schemas.openxmlformats.org/officeDocument/2006/relationships" ref="U123" r:id="rId121"/>
    <hyperlink xmlns:r="http://schemas.openxmlformats.org/officeDocument/2006/relationships" ref="U124" r:id="rId122"/>
    <hyperlink xmlns:r="http://schemas.openxmlformats.org/officeDocument/2006/relationships" ref="U125" r:id="rId123"/>
    <hyperlink xmlns:r="http://schemas.openxmlformats.org/officeDocument/2006/relationships" ref="U126" r:id="rId124"/>
    <hyperlink xmlns:r="http://schemas.openxmlformats.org/officeDocument/2006/relationships" ref="U127" r:id="rId125"/>
    <hyperlink xmlns:r="http://schemas.openxmlformats.org/officeDocument/2006/relationships" ref="U128" r:id="rId126"/>
    <hyperlink xmlns:r="http://schemas.openxmlformats.org/officeDocument/2006/relationships" ref="U129" r:id="rId127"/>
    <hyperlink xmlns:r="http://schemas.openxmlformats.org/officeDocument/2006/relationships" ref="U130" r:id="rId128"/>
    <hyperlink xmlns:r="http://schemas.openxmlformats.org/officeDocument/2006/relationships" ref="U131" r:id="rId129"/>
    <hyperlink xmlns:r="http://schemas.openxmlformats.org/officeDocument/2006/relationships" ref="U132" r:id="rId130"/>
    <hyperlink xmlns:r="http://schemas.openxmlformats.org/officeDocument/2006/relationships" ref="U133" r:id="rId131"/>
    <hyperlink xmlns:r="http://schemas.openxmlformats.org/officeDocument/2006/relationships" ref="U134" r:id="rId132"/>
    <hyperlink xmlns:r="http://schemas.openxmlformats.org/officeDocument/2006/relationships" ref="U135" r:id="rId133"/>
    <hyperlink xmlns:r="http://schemas.openxmlformats.org/officeDocument/2006/relationships" ref="U136" r:id="rId134"/>
    <hyperlink xmlns:r="http://schemas.openxmlformats.org/officeDocument/2006/relationships" ref="U137" r:id="rId135"/>
    <hyperlink xmlns:r="http://schemas.openxmlformats.org/officeDocument/2006/relationships" ref="U138" r:id="rId136"/>
    <hyperlink xmlns:r="http://schemas.openxmlformats.org/officeDocument/2006/relationships" ref="U139" r:id="rId137"/>
  </hyperlinks>
  <pageMargins left="0.75" right="0.75" top="1" bottom="1" header="0.5" footer="0.5"/>
  <pageSetup fitToHeight="0" fitToWidth="1"/>
  <tableParts count="1">
    <tablePart xmlns:r="http://schemas.openxmlformats.org/officeDocument/2006/relationships" r:id="rId138"/>
  </tableParts>
</worksheet>
</file>

<file path=xl/worksheets/sheet4.xml><?xml version="1.0" encoding="utf-8"?>
<worksheet xmlns="http://schemas.openxmlformats.org/spreadsheetml/2006/main">
  <sheetPr>
    <outlinePr summaryBelow="1" summaryRight="1"/>
    <pageSetUpPr fitToPage="1"/>
  </sheetPr>
  <dimension ref="A1:I22"/>
  <sheetViews>
    <sheetView showGridLines="0" workbookViewId="0">
      <pane ySplit="2" topLeftCell="A3" activePane="bottomLeft" state="frozen"/>
      <selection pane="bottomLeft" activeCell="A1" sqref="A1"/>
    </sheetView>
  </sheetViews>
  <sheetFormatPr baseColWidth="8" defaultRowHeight="15"/>
  <cols>
    <col width="11" customWidth="1" min="1" max="1"/>
    <col width="32" customWidth="1" min="2" max="2"/>
    <col width="18" customWidth="1" min="3" max="3"/>
    <col width="33" customWidth="1" min="4" max="4"/>
    <col width="50" customWidth="1" min="5" max="5"/>
    <col width="17" customWidth="1" min="6" max="6"/>
    <col width="15" customWidth="1" min="7" max="7"/>
    <col width="38" customWidth="1" min="8" max="8"/>
    <col width="28" customWidth="1" min="9" max="9"/>
  </cols>
  <sheetData>
    <row r="1" ht="30" customHeight="1">
      <c r="A1" s="1" t="inlineStr">
        <is>
          <t>16 SEKTÖR | NİHAİ EK-1 ÖZETİ</t>
        </is>
      </c>
    </row>
    <row r="2" ht="36" customHeight="1">
      <c r="A2" s="10" t="inlineStr">
        <is>
          <t>Sektör No</t>
        </is>
      </c>
      <c r="B2" s="10" t="inlineStr">
        <is>
          <t>Sektör Adı</t>
        </is>
      </c>
      <c r="C2" s="10" t="inlineStr">
        <is>
          <t>Ekonomik Faaliyet Sayısı</t>
        </is>
      </c>
      <c r="D2" s="10" t="inlineStr">
        <is>
          <t>Ana Çevresel Hedef</t>
        </is>
      </c>
      <c r="E2" s="10" t="inlineStr">
        <is>
          <t>İlgili Faaliyet Kodları</t>
        </is>
      </c>
      <c r="F2" s="10" t="inlineStr">
        <is>
          <t>Kolaylaştırıcı Faaliyet Var mı?</t>
        </is>
      </c>
      <c r="G2" s="10" t="inlineStr">
        <is>
          <t>Geçiş Faaliyeti Var mı?</t>
        </is>
      </c>
      <c r="H2" s="10" t="inlineStr">
        <is>
          <t>Açıklama</t>
        </is>
      </c>
      <c r="I2" s="10" t="inlineStr">
        <is>
          <t>Kaynak</t>
        </is>
      </c>
    </row>
    <row r="3">
      <c r="A3" s="13" t="n">
        <v>1</v>
      </c>
      <c r="B3" s="13" t="inlineStr">
        <is>
          <t>Ormancılık Faaliyetleri</t>
        </is>
      </c>
      <c r="C3" s="13">
        <f>COUNTIF('137 EKONOMİK FAALİYET'!$C$3:$C$139,B3)</f>
        <v/>
      </c>
      <c r="D3" s="13" t="inlineStr">
        <is>
          <t>Sera gazı emisyonlarının azaltımı</t>
        </is>
      </c>
      <c r="E3" s="13" t="inlineStr">
        <is>
          <t>A-1.1, B-1.1, A-1.2, B-1.2, A-1.3, B-1.3, A-1.4, B-1.4</t>
        </is>
      </c>
      <c r="F3" s="13" t="inlineStr">
        <is>
          <t>Hayır</t>
        </is>
      </c>
      <c r="G3" s="13" t="inlineStr">
        <is>
          <t>Hayır</t>
        </is>
      </c>
      <c r="H3" s="13" t="inlineStr">
        <is>
          <t>Nihai EK-1 kapsamında yer alan faaliyetlerin benzersiz faaliyet bazında özeti.</t>
        </is>
      </c>
      <c r="I3" s="14" t="inlineStr">
        <is>
          <t>Türkiye Yeşil Taksonomisi Yönetmeliği, EK-1</t>
        </is>
      </c>
    </row>
    <row r="4">
      <c r="A4" s="13" t="n">
        <v>2</v>
      </c>
      <c r="B4" s="13" t="inlineStr">
        <is>
          <t>Çevre Koruma ve Restorasyon Faaliyetleri</t>
        </is>
      </c>
      <c r="C4" s="13">
        <f>COUNTIF('137 EKONOMİK FAALİYET'!$C$3:$C$139,B4)</f>
        <v/>
      </c>
      <c r="D4" s="13" t="inlineStr">
        <is>
          <t>Sera gazı emisyonlarının azaltımı</t>
        </is>
      </c>
      <c r="E4" s="13" t="inlineStr">
        <is>
          <t>A-2.1, B-2.1, E-1.1</t>
        </is>
      </c>
      <c r="F4" s="13" t="inlineStr">
        <is>
          <t>Hayır</t>
        </is>
      </c>
      <c r="G4" s="13" t="inlineStr">
        <is>
          <t>Hayır</t>
        </is>
      </c>
      <c r="H4" s="13" t="inlineStr">
        <is>
          <t>Nihai EK-1 kapsamında yer alan faaliyetlerin benzersiz faaliyet bazında özeti.</t>
        </is>
      </c>
      <c r="I4" s="14" t="inlineStr">
        <is>
          <t>Türkiye Yeşil Taksonomisi Yönetmeliği, EK-1</t>
        </is>
      </c>
    </row>
    <row r="5">
      <c r="A5" s="13" t="n">
        <v>3</v>
      </c>
      <c r="B5" s="13" t="inlineStr">
        <is>
          <t>İmalat Faaliyetleri</t>
        </is>
      </c>
      <c r="C5" s="13">
        <f>COUNTIF('137 EKONOMİK FAALİYET'!$C$3:$C$139,B5)</f>
        <v/>
      </c>
      <c r="D5" s="13" t="inlineStr">
        <is>
          <t>Sera gazı emisyonlarının azaltımı</t>
        </is>
      </c>
      <c r="E5" s="13" t="inlineStr">
        <is>
          <t>A-3.1, B-3.1, A-3.2, B-3.2, A-3.3, B-3.3, A-3.4, B-3.4, A-3.5, B-3.5, A-3.6, B-3.6, A-3.7, B-3.7, A-3.8, B-3.8, A-3.9, B-3.9, A-3.10, B-3.10, A-3.11, B-3.11, A-3.12, B-3.12, A-3.13, B-3.13, A-3.14, B-3.14, A-3.15, B-3.15, A-3.16, B-3.16, A-3.17, B-3.17, C-1.1, Ç-1.1, Ç-1.2, D-1.1, D-1.2</t>
        </is>
      </c>
      <c r="F5" s="13" t="inlineStr">
        <is>
          <t>Evet</t>
        </is>
      </c>
      <c r="G5" s="13" t="inlineStr">
        <is>
          <t>Evet</t>
        </is>
      </c>
      <c r="H5" s="13" t="inlineStr">
        <is>
          <t>Nihai EK-1 kapsamında yer alan faaliyetlerin benzersiz faaliyet bazında özeti.</t>
        </is>
      </c>
      <c r="I5" s="14" t="inlineStr">
        <is>
          <t>Türkiye Yeşil Taksonomisi Yönetmeliği, EK-1</t>
        </is>
      </c>
    </row>
    <row r="6">
      <c r="A6" s="13" t="n">
        <v>4</v>
      </c>
      <c r="B6" s="13" t="inlineStr">
        <is>
          <t>Enerji Faaliyetleri</t>
        </is>
      </c>
      <c r="C6" s="13">
        <f>COUNTIF('137 EKONOMİK FAALİYET'!$C$3:$C$139,B6)</f>
        <v/>
      </c>
      <c r="D6" s="13" t="inlineStr">
        <is>
          <t>Sera gazı emisyonlarının azaltımı</t>
        </is>
      </c>
      <c r="E6" s="13" t="inlineStr">
        <is>
          <t>A-4.1, B-4.1, A-4.2, B-4.2, A-4.3, B-4.3, A-4.4, B-4.4, A-4.5, B-4.5, A-4.6, B-4.6, A-4.7, B-4.7, A-4.8, B-4.8, A-4.9, B-4.9, A-4.10, B-4.10, A-4.11, B-4.11, A-4.12, B-4.12, A-4.13, B-4.13, A-4.14, B-4.14, A-4.15, B-4.15, A-4.16, B-4.16, A-4.17, B-4.17, A-4.18, B-4.18, A-4.19, B-4.19, A-4.20, B-4.20, A-4.21, B-4.21, A-4.22, B-4.22, A-4.23, B-4.23, A-4.24, B-4.24, A-4.25, B-4.25, A-4.26, B-4.26, A-4.27, B-4.27, A-4.28, B-4.28, A-4.29, B-4.29, A-4.30, B-4.30, A-4.31, B-4.31</t>
        </is>
      </c>
      <c r="F6" s="13" t="inlineStr">
        <is>
          <t>Evet</t>
        </is>
      </c>
      <c r="G6" s="13" t="inlineStr">
        <is>
          <t>Evet</t>
        </is>
      </c>
      <c r="H6" s="13" t="inlineStr">
        <is>
          <t>Nihai EK-1 kapsamında yer alan faaliyetlerin benzersiz faaliyet bazında özeti.</t>
        </is>
      </c>
      <c r="I6" s="14" t="inlineStr">
        <is>
          <t>Türkiye Yeşil Taksonomisi Yönetmeliği, EK-1</t>
        </is>
      </c>
    </row>
    <row r="7">
      <c r="A7" s="13" t="n">
        <v>5</v>
      </c>
      <c r="B7" s="13" t="inlineStr">
        <is>
          <t>Su Temini, Kanalizasyon, Atık Yönetimi ve İyileştirme Faaliyetleri</t>
        </is>
      </c>
      <c r="C7" s="13">
        <f>COUNTIF('137 EKONOMİK FAALİYET'!$C$3:$C$139,B7)</f>
        <v/>
      </c>
      <c r="D7" s="13" t="inlineStr">
        <is>
          <t>Sera gazı emisyonlarının azaltımı</t>
        </is>
      </c>
      <c r="E7" s="13" t="inlineStr">
        <is>
          <t>A-5.1, B-5.1, A-5.2, B-5.2, A-5.3, B-5.3, A-5.4, B-5.4, A-5.5, B-5.5, A-5.6, B-5.6, A-5.7, B-5.7, A-5.8, B-5.8, A-5.9, B-5.9, A-5.10, B-5.10, A-5.11, B-5.11, A-5.12, B-5.12, C-2.1, C-2.2, C-2.3, Ç-2.1, Ç-2.2, Ç-2.3, Ç-2.4, D-2.2, Ç-2.5, Ç-2.6, Ç-2.7, D-2.1, D-2.3, D-2.4</t>
        </is>
      </c>
      <c r="F7" s="13" t="inlineStr">
        <is>
          <t>Evet</t>
        </is>
      </c>
      <c r="G7" s="13" t="inlineStr">
        <is>
          <t>Hayır</t>
        </is>
      </c>
      <c r="H7" s="13" t="inlineStr">
        <is>
          <t>Nihai EK-1 kapsamında yer alan faaliyetlerin benzersiz faaliyet bazında özeti.</t>
        </is>
      </c>
      <c r="I7" s="14" t="inlineStr">
        <is>
          <t>Türkiye Yeşil Taksonomisi Yönetmeliği, EK-1</t>
        </is>
      </c>
    </row>
    <row r="8">
      <c r="A8" s="13" t="n">
        <v>6</v>
      </c>
      <c r="B8" s="13" t="inlineStr">
        <is>
          <t>Ulaştırma Faaliyetleri</t>
        </is>
      </c>
      <c r="C8" s="13">
        <f>COUNTIF('137 EKONOMİK FAALİYET'!$C$3:$C$139,B8)</f>
        <v/>
      </c>
      <c r="D8" s="13" t="inlineStr">
        <is>
          <t>Sera gazı emisyonlarının azaltımı</t>
        </is>
      </c>
      <c r="E8" s="13" t="inlineStr">
        <is>
          <t>A-6.1, B-6.1, A-6.2, B-6.2, A-6.3, B-6.3, A-6.4, B-6.4, A-6.5, B-6.5, A-6.6, B-6.6, A-6.7, B-6.7, A-6.8, B-6.8, A-6.9, B-6.9, A-6.10, B-6.10, A-6.11, B-6.11, A-6.12, B-6.12, A-6.13, B-6.13, A-6.14, B-6.14, A-6.15, A-6.16, A-6.17, B-6.15, B-6.16, B-6.17</t>
        </is>
      </c>
      <c r="F8" s="13" t="inlineStr">
        <is>
          <t>Evet</t>
        </is>
      </c>
      <c r="G8" s="13" t="inlineStr">
        <is>
          <t>Evet</t>
        </is>
      </c>
      <c r="H8" s="13" t="inlineStr">
        <is>
          <t>Nihai EK-1 kapsamında yer alan faaliyetlerin benzersiz faaliyet bazında özeti.</t>
        </is>
      </c>
      <c r="I8" s="14" t="inlineStr">
        <is>
          <t>Türkiye Yeşil Taksonomisi Yönetmeliği, EK-1</t>
        </is>
      </c>
    </row>
    <row r="9">
      <c r="A9" s="13" t="n">
        <v>7</v>
      </c>
      <c r="B9" s="13" t="inlineStr">
        <is>
          <t>İnşaat ve Emlak Faaliyetleri</t>
        </is>
      </c>
      <c r="C9" s="13">
        <f>COUNTIF('137 EKONOMİK FAALİYET'!$C$3:$C$139,B9)</f>
        <v/>
      </c>
      <c r="D9" s="13" t="inlineStr">
        <is>
          <t>Sera gazı emisyonlarının azaltımı</t>
        </is>
      </c>
      <c r="E9" s="13" t="inlineStr">
        <is>
          <t>A-7.1, B-7.1, Ç-3.1, A-7.2, B-7.2, Ç-3.2, A-7.3, B-7.3, A-7.4, B-7.4, A-7.5, B-7.5, A-7.6, B-7.6, A-7.7, B-7.7, Ç-3.3, Ç-3.4, Ç-3.5</t>
        </is>
      </c>
      <c r="F9" s="13" t="inlineStr">
        <is>
          <t>Evet</t>
        </is>
      </c>
      <c r="G9" s="13" t="inlineStr">
        <is>
          <t>Evet</t>
        </is>
      </c>
      <c r="H9" s="13" t="inlineStr">
        <is>
          <t>Nihai EK-1 kapsamında yer alan faaliyetlerin benzersiz faaliyet bazında özeti.</t>
        </is>
      </c>
      <c r="I9" s="14" t="inlineStr">
        <is>
          <t>Türkiye Yeşil Taksonomisi Yönetmeliği, EK-1</t>
        </is>
      </c>
    </row>
    <row r="10">
      <c r="A10" s="13" t="n">
        <v>8</v>
      </c>
      <c r="B10" s="13" t="inlineStr">
        <is>
          <t>Bilgi ve İletişim Faaliyetleri</t>
        </is>
      </c>
      <c r="C10" s="13">
        <f>COUNTIF('137 EKONOMİK FAALİYET'!$C$3:$C$139,B10)</f>
        <v/>
      </c>
      <c r="D10" s="13" t="inlineStr">
        <is>
          <t>İklim değişikliğine uyum</t>
        </is>
      </c>
      <c r="E10" s="13" t="inlineStr">
        <is>
          <t>A-8.1, B-8.1, A-8.2, B-8.2, B-8.3, B-8.4, C-4.1, Ç-4.1</t>
        </is>
      </c>
      <c r="F10" s="13" t="inlineStr">
        <is>
          <t>Evet</t>
        </is>
      </c>
      <c r="G10" s="13" t="inlineStr">
        <is>
          <t>Evet</t>
        </is>
      </c>
      <c r="H10" s="13" t="inlineStr">
        <is>
          <t>Nihai EK-1 kapsamında yer alan faaliyetlerin benzersiz faaliyet bazında özeti.</t>
        </is>
      </c>
      <c r="I10" s="14" t="inlineStr">
        <is>
          <t>Türkiye Yeşil Taksonomisi Yönetmeliği, EK-1</t>
        </is>
      </c>
    </row>
    <row r="11">
      <c r="A11" s="13" t="n">
        <v>9</v>
      </c>
      <c r="B11" s="13" t="inlineStr">
        <is>
          <t>Mesleki, Bilimsel ve Teknik Faaliyetler</t>
        </is>
      </c>
      <c r="C11" s="13">
        <f>COUNTIF('137 EKONOMİK FAALİYET'!$C$3:$C$139,B11)</f>
        <v/>
      </c>
      <c r="D11" s="13" t="inlineStr">
        <is>
          <t>İklim değişikliğine uyum</t>
        </is>
      </c>
      <c r="E11" s="13" t="inlineStr">
        <is>
          <t>A-9.1, B-9.1, A-9.2, B-9.2, A-9.3, B-9.3, B-9.4</t>
        </is>
      </c>
      <c r="F11" s="13" t="inlineStr">
        <is>
          <t>Evet</t>
        </is>
      </c>
      <c r="G11" s="13" t="inlineStr">
        <is>
          <t>Hayır</t>
        </is>
      </c>
      <c r="H11" s="13" t="inlineStr">
        <is>
          <t>Nihai EK-1 kapsamında yer alan faaliyetlerin benzersiz faaliyet bazında özeti.</t>
        </is>
      </c>
      <c r="I11" s="14" t="inlineStr">
        <is>
          <t>Türkiye Yeşil Taksonomisi Yönetmeliği, EK-1</t>
        </is>
      </c>
    </row>
    <row r="12">
      <c r="A12" s="13" t="n">
        <v>10</v>
      </c>
      <c r="B12" s="13" t="inlineStr">
        <is>
          <t>Tarım Faaliyetleri</t>
        </is>
      </c>
      <c r="C12" s="13">
        <f>COUNTIF('137 EKONOMİK FAALİYET'!$C$3:$C$139,B12)</f>
        <v/>
      </c>
      <c r="D12" s="13" t="inlineStr">
        <is>
          <t>Sera gazı emisyonlarının azaltımı</t>
        </is>
      </c>
      <c r="E12" s="13" t="inlineStr">
        <is>
          <t>A-10.1</t>
        </is>
      </c>
      <c r="F12" s="13" t="inlineStr">
        <is>
          <t>Hayır</t>
        </is>
      </c>
      <c r="G12" s="13" t="inlineStr">
        <is>
          <t>Hayır</t>
        </is>
      </c>
      <c r="H12" s="13" t="inlineStr">
        <is>
          <t>Nihai EK-1 kapsamında yer alan faaliyetlerin benzersiz faaliyet bazında özeti.</t>
        </is>
      </c>
      <c r="I12" s="14" t="inlineStr">
        <is>
          <t>Türkiye Yeşil Taksonomisi Yönetmeliği, EK-1</t>
        </is>
      </c>
    </row>
    <row r="13">
      <c r="A13" s="13" t="n">
        <v>11</v>
      </c>
      <c r="B13" s="13" t="inlineStr">
        <is>
          <t>Turizm Faaliyetleri</t>
        </is>
      </c>
      <c r="C13" s="13">
        <f>COUNTIF('137 EKONOMİK FAALİYET'!$C$3:$C$139,B13)</f>
        <v/>
      </c>
      <c r="D13" s="13" t="inlineStr">
        <is>
          <t>Sera gazı emisyonlarının azaltımı</t>
        </is>
      </c>
      <c r="E13" s="13" t="inlineStr">
        <is>
          <t>A-11.1</t>
        </is>
      </c>
      <c r="F13" s="13" t="inlineStr">
        <is>
          <t>Hayır</t>
        </is>
      </c>
      <c r="G13" s="13" t="inlineStr">
        <is>
          <t>Hayır</t>
        </is>
      </c>
      <c r="H13" s="13" t="inlineStr">
        <is>
          <t>Nihai EK-1 kapsamında yer alan faaliyetlerin benzersiz faaliyet bazında özeti.</t>
        </is>
      </c>
      <c r="I13" s="14" t="inlineStr">
        <is>
          <t>Türkiye Yeşil Taksonomisi Yönetmeliği, EK-1</t>
        </is>
      </c>
    </row>
    <row r="14">
      <c r="A14" s="13" t="n">
        <v>12</v>
      </c>
      <c r="B14" s="13" t="inlineStr">
        <is>
          <t>Sanat, Eğlence ve Rekreasyon Faaliyetleri</t>
        </is>
      </c>
      <c r="C14" s="13">
        <f>COUNTIF('137 EKONOMİK FAALİYET'!$C$3:$C$139,B14)</f>
        <v/>
      </c>
      <c r="D14" s="13" t="inlineStr">
        <is>
          <t>İklim değişikliğine uyum</t>
        </is>
      </c>
      <c r="E14" s="13" t="inlineStr">
        <is>
          <t>B-10.1</t>
        </is>
      </c>
      <c r="F14" s="13" t="inlineStr">
        <is>
          <t>Evet</t>
        </is>
      </c>
      <c r="G14" s="13" t="inlineStr">
        <is>
          <t>Hayır</t>
        </is>
      </c>
      <c r="H14" s="13" t="inlineStr">
        <is>
          <t>Nihai EK-1 kapsamında yer alan faaliyetlerin benzersiz faaliyet bazında özeti.</t>
        </is>
      </c>
      <c r="I14" s="14" t="inlineStr">
        <is>
          <t>Türkiye Yeşil Taksonomisi Yönetmeliği, EK-1</t>
        </is>
      </c>
    </row>
    <row r="15">
      <c r="A15" s="13" t="n">
        <v>13</v>
      </c>
      <c r="B15" s="13" t="inlineStr">
        <is>
          <t>Finans ve Sigorta Faaliyetleri</t>
        </is>
      </c>
      <c r="C15" s="13">
        <f>COUNTIF('137 EKONOMİK FAALİYET'!$C$3:$C$139,B15)</f>
        <v/>
      </c>
      <c r="D15" s="13" t="inlineStr">
        <is>
          <t>İklim değişikliğine uyum</t>
        </is>
      </c>
      <c r="E15" s="13" t="inlineStr">
        <is>
          <t>B-11.1, B-11.2</t>
        </is>
      </c>
      <c r="F15" s="13" t="inlineStr">
        <is>
          <t>Evet</t>
        </is>
      </c>
      <c r="G15" s="13" t="inlineStr">
        <is>
          <t>Hayır</t>
        </is>
      </c>
      <c r="H15" s="13" t="inlineStr">
        <is>
          <t>Nihai EK-1 kapsamında yer alan faaliyetlerin benzersiz faaliyet bazında özeti.</t>
        </is>
      </c>
      <c r="I15" s="14" t="inlineStr">
        <is>
          <t>Türkiye Yeşil Taksonomisi Yönetmeliği, EK-1</t>
        </is>
      </c>
    </row>
    <row r="16">
      <c r="A16" s="13" t="n">
        <v>14</v>
      </c>
      <c r="B16" s="13" t="inlineStr">
        <is>
          <t>Afet Risk Yönetimi</t>
        </is>
      </c>
      <c r="C16" s="13">
        <f>COUNTIF('137 EKONOMİK FAALİYET'!$C$3:$C$139,B16)</f>
        <v/>
      </c>
      <c r="D16" s="13" t="inlineStr">
        <is>
          <t>Su ve deniz kaynaklarının sürdürülebilir kullanımı ve korunması</t>
        </is>
      </c>
      <c r="E16" s="13" t="inlineStr">
        <is>
          <t>C-3.1</t>
        </is>
      </c>
      <c r="F16" s="13" t="inlineStr">
        <is>
          <t>Hayır</t>
        </is>
      </c>
      <c r="G16" s="13" t="inlineStr">
        <is>
          <t>Hayır</t>
        </is>
      </c>
      <c r="H16" s="13" t="inlineStr">
        <is>
          <t>Nihai EK-1 kapsamında yer alan faaliyetlerin benzersiz faaliyet bazında özeti.</t>
        </is>
      </c>
      <c r="I16" s="14" t="inlineStr">
        <is>
          <t>Türkiye Yeşil Taksonomisi Yönetmeliği, EK-1</t>
        </is>
      </c>
    </row>
    <row r="17">
      <c r="A17" s="13" t="n">
        <v>15</v>
      </c>
      <c r="B17" s="13" t="inlineStr">
        <is>
          <t>Hizmet Faaliyetleri</t>
        </is>
      </c>
      <c r="C17" s="13">
        <f>COUNTIF('137 EKONOMİK FAALİYET'!$C$3:$C$139,B17)</f>
        <v/>
      </c>
      <c r="D17" s="13" t="inlineStr">
        <is>
          <t>Döngüsel ekonomiye geçiş</t>
        </is>
      </c>
      <c r="E17" s="13" t="inlineStr">
        <is>
          <t>Ç-5.1, Ç-5.2, Ç-5.3, Ç-5.4, Ç-5.5, Ç-5.6</t>
        </is>
      </c>
      <c r="F17" s="13" t="inlineStr">
        <is>
          <t>Evet</t>
        </is>
      </c>
      <c r="G17" s="13" t="inlineStr">
        <is>
          <t>Hayır</t>
        </is>
      </c>
      <c r="H17" s="13" t="inlineStr">
        <is>
          <t>Nihai EK-1 kapsamında yer alan faaliyetlerin benzersiz faaliyet bazında özeti.</t>
        </is>
      </c>
      <c r="I17" s="14" t="inlineStr">
        <is>
          <t>Türkiye Yeşil Taksonomisi Yönetmeliği, EK-1</t>
        </is>
      </c>
    </row>
    <row r="18">
      <c r="A18" s="13" t="n">
        <v>16</v>
      </c>
      <c r="B18" s="13" t="inlineStr">
        <is>
          <t>Konaklama Faaliyetleri</t>
        </is>
      </c>
      <c r="C18" s="13">
        <f>COUNTIF('137 EKONOMİK FAALİYET'!$C$3:$C$139,B18)</f>
        <v/>
      </c>
      <c r="D18" s="13" t="inlineStr">
        <is>
          <t>Biyoçeşitliliğin ve ekosistemlerin korunması ile restorasyonu</t>
        </is>
      </c>
      <c r="E18" s="13" t="inlineStr">
        <is>
          <t>E-2.1</t>
        </is>
      </c>
      <c r="F18" s="13" t="inlineStr">
        <is>
          <t>Hayır</t>
        </is>
      </c>
      <c r="G18" s="13" t="inlineStr">
        <is>
          <t>Hayır</t>
        </is>
      </c>
      <c r="H18" s="13" t="inlineStr">
        <is>
          <t>Nihai EK-1 kapsamında yer alan faaliyetlerin benzersiz faaliyet bazında özeti.</t>
        </is>
      </c>
      <c r="I18" s="14" t="inlineStr">
        <is>
          <t>Türkiye Yeşil Taksonomisi Yönetmeliği, EK-1</t>
        </is>
      </c>
    </row>
    <row r="19"/>
    <row r="20"/>
    <row r="21">
      <c r="A21" s="15" t="inlineStr">
        <is>
          <t>TOPLAM SEKTÖR:</t>
        </is>
      </c>
      <c r="B21" s="7">
        <f>COUNTA(B3:B18)</f>
        <v/>
      </c>
    </row>
    <row r="22">
      <c r="A22" s="15" t="inlineStr">
        <is>
          <t>TOPLAM EKONOMİK FAALİYET:</t>
        </is>
      </c>
      <c r="B22" s="7">
        <f>SUM(C3:C18)</f>
        <v/>
      </c>
    </row>
  </sheetData>
  <mergeCells count="1">
    <mergeCell ref="A1:I1"/>
  </mergeCells>
  <hyperlinks>
    <hyperlink xmlns:r="http://schemas.openxmlformats.org/officeDocument/2006/relationships" ref="I3" r:id="rId1"/>
    <hyperlink xmlns:r="http://schemas.openxmlformats.org/officeDocument/2006/relationships" ref="I4" r:id="rId2"/>
    <hyperlink xmlns:r="http://schemas.openxmlformats.org/officeDocument/2006/relationships" ref="I5" r:id="rId3"/>
    <hyperlink xmlns:r="http://schemas.openxmlformats.org/officeDocument/2006/relationships" ref="I6" r:id="rId4"/>
    <hyperlink xmlns:r="http://schemas.openxmlformats.org/officeDocument/2006/relationships" ref="I7" r:id="rId5"/>
    <hyperlink xmlns:r="http://schemas.openxmlformats.org/officeDocument/2006/relationships" ref="I8" r:id="rId6"/>
    <hyperlink xmlns:r="http://schemas.openxmlformats.org/officeDocument/2006/relationships" ref="I9" r:id="rId7"/>
    <hyperlink xmlns:r="http://schemas.openxmlformats.org/officeDocument/2006/relationships" ref="I10" r:id="rId8"/>
    <hyperlink xmlns:r="http://schemas.openxmlformats.org/officeDocument/2006/relationships" ref="I11" r:id="rId9"/>
    <hyperlink xmlns:r="http://schemas.openxmlformats.org/officeDocument/2006/relationships" ref="I12" r:id="rId10"/>
    <hyperlink xmlns:r="http://schemas.openxmlformats.org/officeDocument/2006/relationships" ref="I13" r:id="rId11"/>
    <hyperlink xmlns:r="http://schemas.openxmlformats.org/officeDocument/2006/relationships" ref="I14" r:id="rId12"/>
    <hyperlink xmlns:r="http://schemas.openxmlformats.org/officeDocument/2006/relationships" ref="I15" r:id="rId13"/>
    <hyperlink xmlns:r="http://schemas.openxmlformats.org/officeDocument/2006/relationships" ref="I16" r:id="rId14"/>
    <hyperlink xmlns:r="http://schemas.openxmlformats.org/officeDocument/2006/relationships" ref="I17" r:id="rId15"/>
    <hyperlink xmlns:r="http://schemas.openxmlformats.org/officeDocument/2006/relationships" ref="I18" r:id="rId16"/>
  </hyperlinks>
  <pageMargins left="0.75" right="0.75" top="1" bottom="1" header="0.5" footer="0.5"/>
  <pageSetup fitToHeight="0" fitToWidth="1"/>
  <tableParts count="1">
    <tablePart xmlns:r="http://schemas.openxmlformats.org/officeDocument/2006/relationships" r:id="rId17"/>
  </tableParts>
</worksheet>
</file>

<file path=xl/worksheets/sheet5.xml><?xml version="1.0" encoding="utf-8"?>
<worksheet xmlns="http://schemas.openxmlformats.org/spreadsheetml/2006/main">
  <sheetPr>
    <outlinePr summaryBelow="1" summaryRight="1"/>
    <pageSetUpPr fitToPage="1"/>
  </sheetPr>
  <dimension ref="A1:F8"/>
  <sheetViews>
    <sheetView showGridLines="0" workbookViewId="0">
      <pane ySplit="2" topLeftCell="A3" activePane="bottomLeft" state="frozen"/>
      <selection pane="bottomLeft" activeCell="A1" sqref="A1"/>
    </sheetView>
  </sheetViews>
  <sheetFormatPr baseColWidth="8" defaultRowHeight="15"/>
  <cols>
    <col width="10" customWidth="1" min="1" max="1"/>
    <col width="40" customWidth="1" min="2" max="2"/>
    <col width="45" customWidth="1" min="3" max="3"/>
    <col width="42" customWidth="1" min="4" max="4"/>
    <col width="40" customWidth="1" min="5" max="5"/>
    <col width="18" customWidth="1" min="6" max="6"/>
  </cols>
  <sheetData>
    <row r="1" ht="30" customHeight="1">
      <c r="A1" s="1" t="inlineStr">
        <is>
          <t>TÜRKİYE YEŞİL TAKSONOMİSİ | 6 ÇEVRESEL HEDEF</t>
        </is>
      </c>
    </row>
    <row r="2" ht="36" customHeight="1">
      <c r="A2" s="10" t="inlineStr">
        <is>
          <t>Hedef No</t>
        </is>
      </c>
      <c r="B2" s="10" t="inlineStr">
        <is>
          <t>Hedef Adı</t>
        </is>
      </c>
      <c r="C2" s="10" t="inlineStr">
        <is>
          <t>Kısa Açıklama</t>
        </is>
      </c>
      <c r="D2" s="10" t="inlineStr">
        <is>
          <t>Şirket Açısından Örnek Veri</t>
        </is>
      </c>
      <c r="E2" s="10" t="inlineStr">
        <is>
          <t>Muhtemel Kanıt</t>
        </is>
      </c>
      <c r="F2" s="10" t="inlineStr">
        <is>
          <t>İlgili Faaliyetler</t>
        </is>
      </c>
    </row>
    <row r="3">
      <c r="A3" s="13" t="n">
        <v>1</v>
      </c>
      <c r="B3" s="13" t="inlineStr">
        <is>
          <t>Sera gazı emisyonlarının azaltımı</t>
        </is>
      </c>
      <c r="C3" s="13" t="inlineStr">
        <is>
          <t>Sera gazı emisyonlarının azaltılması ile yutak alanların korunması, artırılması ve iyileştirilmesi.</t>
        </is>
      </c>
      <c r="D3" s="13" t="inlineStr">
        <is>
          <t>Enerji/yakıt, emisyon, su, atık, malzeme, dayanıklılık veya biyoçeşitlilik göstergeleri.</t>
        </is>
      </c>
      <c r="E3" s="13" t="inlineStr">
        <is>
          <t>Sayaç, fatura, analiz, izin, proje, izleme ve doğrulama kayıtları.</t>
        </is>
      </c>
      <c r="F3" s="13" t="inlineStr">
        <is>
          <t>96 faaliyet</t>
        </is>
      </c>
    </row>
    <row r="4">
      <c r="A4" s="13" t="n">
        <v>2</v>
      </c>
      <c r="B4" s="13" t="inlineStr">
        <is>
          <t>İklim değişikliğine uyum</t>
        </is>
      </c>
      <c r="C4" s="13" t="inlineStr">
        <is>
          <t>İklim değişikliğinin mevcut veya olası olumsuz etkilerine karşı dayanıklılık ve uyum.</t>
        </is>
      </c>
      <c r="D4" s="13" t="inlineStr">
        <is>
          <t>Enerji/yakıt, emisyon, su, atık, malzeme, dayanıklılık veya biyoçeşitlilik göstergeleri.</t>
        </is>
      </c>
      <c r="E4" s="13" t="inlineStr">
        <is>
          <t>Sayaç, fatura, analiz, izin, proje, izleme ve doğrulama kayıtları.</t>
        </is>
      </c>
      <c r="F4" s="13" t="inlineStr">
        <is>
          <t>100 faaliyet</t>
        </is>
      </c>
    </row>
    <row r="5">
      <c r="A5" s="13" t="n">
        <v>3</v>
      </c>
      <c r="B5" s="13" t="inlineStr">
        <is>
          <t>Su ve deniz kaynaklarının sürdürülebilir kullanımı ve korunması</t>
        </is>
      </c>
      <c r="C5" s="13" t="inlineStr">
        <is>
          <t>Su ve deniz kaynaklarının durumunun iyileştirilmesi, korunması ve kirlenmenin önlenmesi.</t>
        </is>
      </c>
      <c r="D5" s="13" t="inlineStr">
        <is>
          <t>Enerji/yakıt, emisyon, su, atık, malzeme, dayanıklılık veya biyoçeşitlilik göstergeleri.</t>
        </is>
      </c>
      <c r="E5" s="13" t="inlineStr">
        <is>
          <t>Sayaç, fatura, analiz, izin, proje, izleme ve doğrulama kayıtları.</t>
        </is>
      </c>
      <c r="F5" s="13" t="inlineStr">
        <is>
          <t>6 faaliyet</t>
        </is>
      </c>
    </row>
    <row r="6">
      <c r="A6" s="13" t="n">
        <v>4</v>
      </c>
      <c r="B6" s="13" t="inlineStr">
        <is>
          <t>Döngüsel ekonomiye geçiş</t>
        </is>
      </c>
      <c r="C6" s="13" t="inlineStr">
        <is>
          <t>Kaynakların daha uzun süre kullanılması, yeniden kullanım, onarım ve geri/ileri dönüşüm.</t>
        </is>
      </c>
      <c r="D6" s="13" t="inlineStr">
        <is>
          <t>Enerji/yakıt, emisyon, su, atık, malzeme, dayanıklılık veya biyoçeşitlilik göstergeleri.</t>
        </is>
      </c>
      <c r="E6" s="13" t="inlineStr">
        <is>
          <t>Sayaç, fatura, analiz, izin, proje, izleme ve doğrulama kayıtları.</t>
        </is>
      </c>
      <c r="F6" s="13" t="inlineStr">
        <is>
          <t>21 faaliyet</t>
        </is>
      </c>
    </row>
    <row r="7">
      <c r="A7" s="13" t="n">
        <v>5</v>
      </c>
      <c r="B7" s="13" t="inlineStr">
        <is>
          <t>Kirliliğin önlenmesi ve kontrolü</t>
        </is>
      </c>
      <c r="C7" s="13" t="inlineStr">
        <is>
          <t>Hava, su, toprak, koku, gürültü kirliliği ve atık oluşumunun önlenmesi ve kontrolü.</t>
        </is>
      </c>
      <c r="D7" s="13" t="inlineStr">
        <is>
          <t>Enerji/yakıt, emisyon, su, atık, malzeme, dayanıklılık veya biyoçeşitlilik göstergeleri.</t>
        </is>
      </c>
      <c r="E7" s="13" t="inlineStr">
        <is>
          <t>Sayaç, fatura, analiz, izin, proje, izleme ve doğrulama kayıtları.</t>
        </is>
      </c>
      <c r="F7" s="13" t="inlineStr">
        <is>
          <t>6 faaliyet</t>
        </is>
      </c>
    </row>
    <row r="8">
      <c r="A8" s="13" t="n">
        <v>6</v>
      </c>
      <c r="B8" s="13" t="inlineStr">
        <is>
          <t>Biyoçeşitliliğin ve ekosistemlerin korunması ile restorasyonu</t>
        </is>
      </c>
      <c r="C8" s="13" t="inlineStr">
        <is>
          <t>Doğal yaşam alanlarının, türlerin ve ekosistemlerin korunması ve restorasyonu.</t>
        </is>
      </c>
      <c r="D8" s="13" t="inlineStr">
        <is>
          <t>Enerji/yakıt, emisyon, su, atık, malzeme, dayanıklılık veya biyoçeşitlilik göstergeleri.</t>
        </is>
      </c>
      <c r="E8" s="13" t="inlineStr">
        <is>
          <t>Sayaç, fatura, analiz, izin, proje, izleme ve doğrulama kayıtları.</t>
        </is>
      </c>
      <c r="F8" s="13" t="inlineStr">
        <is>
          <t>2 faaliyet</t>
        </is>
      </c>
    </row>
  </sheetData>
  <mergeCells count="1">
    <mergeCell ref="A1:F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H24"/>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22" customWidth="1" min="3" max="3"/>
    <col width="22" customWidth="1" min="4" max="4"/>
    <col width="3" customWidth="1" min="5" max="5"/>
    <col width="24" customWidth="1" min="6" max="6"/>
    <col width="30" customWidth="1" min="7" max="7"/>
    <col width="24" customWidth="1" min="8" max="8"/>
  </cols>
  <sheetData>
    <row r="1" ht="30" customHeight="1">
      <c r="A1" s="1" t="inlineStr">
        <is>
          <t>ŞİRKETİMİ KONTROL ET | GİRİŞ VE ÖN DEĞERLENDİRME</t>
        </is>
      </c>
    </row>
    <row r="2"/>
    <row r="3">
      <c r="A3" s="15" t="inlineStr">
        <is>
          <t>Şirket Adı</t>
        </is>
      </c>
      <c r="B3" s="16" t="n"/>
      <c r="F3" s="17" t="inlineStr">
        <is>
          <t>NACE kodu eşleştirmeyi destekleyen bir referanstır; tek başına taksonomi uyumluluğunu kanıtlamaz.</t>
        </is>
      </c>
    </row>
    <row r="4">
      <c r="A4" s="15" t="inlineStr">
        <is>
          <t>Sektör</t>
        </is>
      </c>
      <c r="B4" s="16" t="n"/>
    </row>
    <row r="5">
      <c r="A5" s="15" t="inlineStr">
        <is>
          <t>Ana Faaliyet</t>
        </is>
      </c>
      <c r="B5" s="16" t="n"/>
    </row>
    <row r="6">
      <c r="A6" s="15" t="inlineStr">
        <is>
          <t>İkincil Faaliyet</t>
        </is>
      </c>
      <c r="B6" s="16" t="n"/>
      <c r="F6" s="8" t="inlineStr">
        <is>
          <t>A — EK-1 KAPSAMI</t>
        </is>
      </c>
    </row>
    <row r="7">
      <c r="A7" s="15" t="inlineStr">
        <is>
          <t>NACE Kodu</t>
        </is>
      </c>
      <c r="B7" s="16" t="n"/>
      <c r="F7" s="3">
        <f>IF(B5="","EŞLEŞTİRME GEREKLİ",IF(COUNTIF('137 EKONOMİK FAALİYET'!$E$3:$E$139,B5)&gt;0,"EVET","EŞLEŞTİRME GEREKLİ"))</f>
        <v/>
      </c>
    </row>
    <row r="8">
      <c r="A8" s="15" t="inlineStr">
        <is>
          <t>İl</t>
        </is>
      </c>
      <c r="B8" s="16" t="n"/>
    </row>
    <row r="9">
      <c r="A9" s="15" t="inlineStr">
        <is>
          <t>Tesis / Lokasyon</t>
        </is>
      </c>
      <c r="B9" s="16" t="n"/>
      <c r="F9" s="8" t="inlineStr">
        <is>
          <t>B — TEKNİK KRİTER DURUMU</t>
        </is>
      </c>
    </row>
    <row r="10">
      <c r="A10" s="15" t="inlineStr">
        <is>
          <t>Yıllık Ciro</t>
        </is>
      </c>
      <c r="B10" s="16" t="n"/>
      <c r="F10" s="3">
        <f>IF(B5="","VERİ YETERSİZ","YAYIMLANMAMIŞ / DOĞRULANMALI")</f>
        <v/>
      </c>
    </row>
    <row r="11">
      <c r="A11" s="15" t="inlineStr">
        <is>
          <t>Yıllık CAPEX</t>
        </is>
      </c>
      <c r="B11" s="16" t="n"/>
    </row>
    <row r="12">
      <c r="A12" s="15" t="inlineStr">
        <is>
          <t>Yıllık OPEX</t>
        </is>
      </c>
      <c r="B12" s="16" t="n"/>
      <c r="F12" s="8" t="inlineStr">
        <is>
          <t>C — TAKSONOMİ UYUM DURUMU</t>
        </is>
      </c>
    </row>
    <row r="13">
      <c r="A13" s="15" t="inlineStr">
        <is>
          <t>Yıllık Elektrik Tüketimi</t>
        </is>
      </c>
      <c r="B13" s="16" t="n"/>
      <c r="F13" s="3">
        <f>IF(B5="","Henüz doğrulanmadı",IF(COUNTIF(B18:B22,"Veri Yok")&gt;0,"Veri eksik","Teknik kriter incelemesi gerekli"))</f>
        <v/>
      </c>
    </row>
    <row r="14">
      <c r="A14" s="15" t="inlineStr">
        <is>
          <t>Yıllık Yakıt Tüketimi</t>
        </is>
      </c>
      <c r="B14" s="16" t="n"/>
    </row>
    <row r="15">
      <c r="A15" s="15" t="inlineStr">
        <is>
          <t>Yıllık Su Tüketimi</t>
        </is>
      </c>
      <c r="B15" s="16" t="n"/>
    </row>
    <row r="16">
      <c r="A16" s="15" t="inlineStr">
        <is>
          <t>Yıllık Atık Miktarı</t>
        </is>
      </c>
      <c r="B16" s="16" t="n"/>
      <c r="F16" s="18" t="inlineStr">
        <is>
          <t>ÜÇ TEMEL UYUM ŞARTI</t>
        </is>
      </c>
    </row>
    <row r="17">
      <c r="A17" s="15" t="inlineStr">
        <is>
          <t>Yıllık Sera Gazı Emisyonu</t>
        </is>
      </c>
      <c r="B17" s="16" t="n"/>
    </row>
    <row r="18">
      <c r="A18" s="15" t="inlineStr">
        <is>
          <t>Mevcut GES</t>
        </is>
      </c>
      <c r="B18" s="16" t="n"/>
      <c r="F18" s="7" t="inlineStr">
        <is>
          <t>Önemli Katkı</t>
        </is>
      </c>
      <c r="G18" s="7" t="inlineStr">
        <is>
          <t>En az bir hedefe önemli katkı?</t>
        </is>
      </c>
      <c r="H18" s="19" t="inlineStr">
        <is>
          <t>İncelenmedi</t>
        </is>
      </c>
    </row>
    <row r="19">
      <c r="A19" s="15" t="inlineStr">
        <is>
          <t>Mevcut BESS</t>
        </is>
      </c>
      <c r="B19" s="16" t="n"/>
      <c r="F19" s="7" t="inlineStr">
        <is>
          <t>DNSH</t>
        </is>
      </c>
      <c r="G19" s="7" t="inlineStr">
        <is>
          <t>Diğer hedeflere önemli zarar vermeme?</t>
        </is>
      </c>
      <c r="H19" s="19" t="inlineStr">
        <is>
          <t>İncelenmedi</t>
        </is>
      </c>
    </row>
    <row r="20">
      <c r="A20" s="15" t="inlineStr">
        <is>
          <t>Enerji Verimliliği Projesi</t>
        </is>
      </c>
      <c r="B20" s="16" t="n"/>
      <c r="F20" s="7" t="inlineStr">
        <is>
          <t>Asgari Sosyal Koruma</t>
        </is>
      </c>
      <c r="G20" s="7" t="inlineStr">
        <is>
          <t>Sosyal koruma şartları?</t>
        </is>
      </c>
      <c r="H20" s="19" t="inlineStr">
        <is>
          <t>İncelenmedi</t>
        </is>
      </c>
    </row>
    <row r="21">
      <c r="A21" s="15" t="inlineStr">
        <is>
          <t>Karbon Ayak İzi Hesabı</t>
        </is>
      </c>
      <c r="B21" s="16" t="n"/>
    </row>
    <row r="22">
      <c r="A22" s="15" t="inlineStr">
        <is>
          <t>TSRS Raporlaması</t>
        </is>
      </c>
      <c r="B22" s="16" t="n"/>
      <c r="F22" s="20" t="inlineStr">
        <is>
          <t>Bu üç alan otomatik olarak “uyumlu” sonucuna bağlanmaz. Kesin sonuç için yayımlanmış teknik kriterler ve doğrulanabilir kanıtlar değerlendirilmelidir.</t>
        </is>
      </c>
    </row>
    <row r="23">
      <c r="A23" s="15" t="inlineStr">
        <is>
          <t>Mevcut Sertifikalar</t>
        </is>
      </c>
      <c r="B23" s="16" t="n"/>
    </row>
    <row r="24">
      <c r="A24" s="15" t="inlineStr">
        <is>
          <t>Diğer Çevresel Veriler</t>
        </is>
      </c>
      <c r="B24" s="16" t="n"/>
    </row>
  </sheetData>
  <mergeCells count="25">
    <mergeCell ref="B11:D11"/>
    <mergeCell ref="B14:D14"/>
    <mergeCell ref="B23:D23"/>
    <mergeCell ref="B8:D8"/>
    <mergeCell ref="B17:D17"/>
    <mergeCell ref="B13:D13"/>
    <mergeCell ref="A1:H1"/>
    <mergeCell ref="B10:D10"/>
    <mergeCell ref="B19:D19"/>
    <mergeCell ref="F22:H24"/>
    <mergeCell ref="B9:D9"/>
    <mergeCell ref="B15:D15"/>
    <mergeCell ref="B6:D6"/>
    <mergeCell ref="B24:D24"/>
    <mergeCell ref="F3:H4"/>
    <mergeCell ref="B20:D20"/>
    <mergeCell ref="B5:D5"/>
    <mergeCell ref="B4:D4"/>
    <mergeCell ref="B7:D7"/>
    <mergeCell ref="B16:D16"/>
    <mergeCell ref="B3:D3"/>
    <mergeCell ref="B22:D22"/>
    <mergeCell ref="B18:D18"/>
    <mergeCell ref="B21:D21"/>
    <mergeCell ref="B12:D12"/>
  </mergeCells>
  <dataValidations count="3">
    <dataValidation sqref="B4" showDropDown="0" showInputMessage="0" showErrorMessage="0" allowBlank="0" type="list">
      <formula1>"Ormancılık Faaliyetleri,Çevre Koruma ve Restorasyon Faaliyetleri,İmalat Faaliyetleri,Enerji Faaliyetleri,Su Temini, Kanalizasyon, Atık Yönetimi ve İyileştirme Faaliyetleri,Ulaştırma Faaliyetleri,İnşaat ve Emlak Faaliyetleri,Bilgi ve İletişim Faaliyetleri,Mesleki, Bilimsel ve Teknik Faaliyetler,Tarım Faaliyetleri,Turizm Faaliyetleri,Sanat, Eğlence ve Rekreasyon Faaliyetleri,Finans ve Sigorta Faaliyetleri,Afet Risk Yönetimi,Hizmet Faaliyetleri,Konaklama Faaliyetleri"</formula1>
    </dataValidation>
    <dataValidation sqref="B5 B6" showDropDown="0" showInputMessage="0" showErrorMessage="0" allowBlank="0" type="list">
      <formula1>='_LISTELER'!$B$1:$B$137</formula1>
    </dataValidation>
    <dataValidation sqref="B18 B19 B20 B21 B22 H18 H19 H20" showDropDown="0" showInputMessage="0" showErrorMessage="0" allowBlank="0" type="list">
      <formula1>"Evet,Hayır,Kısmen,Veri Yok,İncelenmedi"</formula1>
    </dataValidation>
  </dataValidation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B137"/>
  <sheetViews>
    <sheetView workbookViewId="0">
      <pane ySplit="2" topLeftCell="A3" activePane="bottomLeft" state="frozen"/>
      <selection pane="bottomLeft" activeCell="A1" sqref="A1"/>
    </sheetView>
  </sheetViews>
  <sheetFormatPr baseColWidth="8" defaultRowHeight="15"/>
  <sheetData>
    <row r="1">
      <c r="A1" t="inlineStr">
        <is>
          <t>Ormancılık Faaliyetleri</t>
        </is>
      </c>
      <c r="B1" t="inlineStr">
        <is>
          <t>Ağaçlandırma</t>
        </is>
      </c>
    </row>
    <row r="2">
      <c r="A2" s="7" t="inlineStr">
        <is>
          <t>Çevre Koruma ve Restorasyon Faaliyetleri</t>
        </is>
      </c>
      <c r="B2" s="7" t="inlineStr">
        <is>
          <t>Yeniden Ağaçlandırma, Doğal Orman Yenilenmesi, Ormanların Rehabilitasyonu ve Restorasyonu</t>
        </is>
      </c>
    </row>
    <row r="3">
      <c r="A3" s="7" t="inlineStr">
        <is>
          <t>İmalat Faaliyetleri</t>
        </is>
      </c>
      <c r="B3" s="7" t="inlineStr">
        <is>
          <t>Orman Yönetimi</t>
        </is>
      </c>
    </row>
    <row r="4">
      <c r="A4" s="7" t="inlineStr">
        <is>
          <t>Enerji Faaliyetleri</t>
        </is>
      </c>
      <c r="B4" s="7" t="inlineStr">
        <is>
          <t>Koruma Ormancılığı</t>
        </is>
      </c>
    </row>
    <row r="5">
      <c r="A5" s="7" t="inlineStr">
        <is>
          <t>Su Temini, Kanalizasyon, Atık Yönetimi ve İyileştirme Faaliyetleri</t>
        </is>
      </c>
      <c r="B5" s="7" t="inlineStr">
        <is>
          <t>Sulak Alanların Restorasyonu</t>
        </is>
      </c>
    </row>
    <row r="6">
      <c r="A6" s="7" t="inlineStr">
        <is>
          <t>Ulaştırma Faaliyetleri</t>
        </is>
      </c>
      <c r="B6" s="7" t="inlineStr">
        <is>
          <t>Yenilenebilir Enerji Teknolojilerinin İmalatı (Kolaylaştırıcı Faaliyet)</t>
        </is>
      </c>
    </row>
    <row r="7">
      <c r="A7" s="7" t="inlineStr">
        <is>
          <t>İnşaat ve Emlak Faaliyetleri</t>
        </is>
      </c>
      <c r="B7" s="7" t="inlineStr">
        <is>
          <t>Hidrojen İmalatı ve Kullanımına Yönelik Ekipmanların İmalatı (Kolaylaştırıcı Faaliyet)</t>
        </is>
      </c>
    </row>
    <row r="8">
      <c r="A8" s="7" t="inlineStr">
        <is>
          <t>Bilgi ve İletişim Faaliyetleri</t>
        </is>
      </c>
      <c r="B8" s="7" t="inlineStr">
        <is>
          <t>Taşımacılık İçin Düşük Karbon Teknolojilerinin İmalatı (Kolaylaştırıcı Faaliyet)</t>
        </is>
      </c>
    </row>
    <row r="9">
      <c r="A9" s="7" t="inlineStr">
        <is>
          <t>Mesleki, Bilimsel ve Teknik Faaliyetler</t>
        </is>
      </c>
      <c r="B9" s="7" t="inlineStr">
        <is>
          <t>Batarya İmalatı (Kolaylaştırıcı Faaliyet)</t>
        </is>
      </c>
    </row>
    <row r="10">
      <c r="A10" s="7" t="inlineStr">
        <is>
          <t>Tarım Faaliyetleri</t>
        </is>
      </c>
      <c r="B10" s="7" t="inlineStr">
        <is>
          <t>Binalar İçin Enerji Verimliliği Ekipmanlarının İmalatı (Kolaylaştırıcı Faaliyet)</t>
        </is>
      </c>
    </row>
    <row r="11">
      <c r="A11" s="7" t="inlineStr">
        <is>
          <t>Turizm Faaliyetleri</t>
        </is>
      </c>
      <c r="B11" s="7" t="inlineStr">
        <is>
          <t>Diğer Düşük Karbon Teknolojilerinin İmalatı (Kolaylaştırıcı Faaliyet)</t>
        </is>
      </c>
    </row>
    <row r="12">
      <c r="A12" s="7" t="inlineStr">
        <is>
          <t>Sanat, Eğlence ve Rekreasyon Faaliyetleri</t>
        </is>
      </c>
      <c r="B12" s="7" t="inlineStr">
        <is>
          <t>Çimento İmalatı</t>
        </is>
      </c>
    </row>
    <row r="13">
      <c r="A13" s="7" t="inlineStr">
        <is>
          <t>Finans ve Sigorta Faaliyetleri</t>
        </is>
      </c>
      <c r="B13" s="7" t="inlineStr">
        <is>
          <t>Alüminyum İmalatı</t>
        </is>
      </c>
    </row>
    <row r="14">
      <c r="A14" s="7" t="inlineStr">
        <is>
          <t>Afet Risk Yönetimi</t>
        </is>
      </c>
      <c r="B14" s="7" t="inlineStr">
        <is>
          <t>Demir ve Çelik İmalatı</t>
        </is>
      </c>
    </row>
    <row r="15">
      <c r="A15" s="7" t="inlineStr">
        <is>
          <t>Hizmet Faaliyetleri</t>
        </is>
      </c>
      <c r="B15" s="7" t="inlineStr">
        <is>
          <t>Hidrojen İmalatı</t>
        </is>
      </c>
    </row>
    <row r="16">
      <c r="A16" s="7" t="inlineStr">
        <is>
          <t>Konaklama Faaliyetleri</t>
        </is>
      </c>
      <c r="B16" s="7" t="inlineStr">
        <is>
          <t>Karbon Siyahı İmalatı</t>
        </is>
      </c>
    </row>
    <row r="17">
      <c r="B17" s="7" t="inlineStr">
        <is>
          <t>Soda Külü İmalatı</t>
        </is>
      </c>
    </row>
    <row r="18">
      <c r="B18" s="7" t="inlineStr">
        <is>
          <t>Klor İmalatı</t>
        </is>
      </c>
    </row>
    <row r="19">
      <c r="B19" s="7" t="inlineStr">
        <is>
          <t>Organik Temel Kimyasalların İmalatı</t>
        </is>
      </c>
    </row>
    <row r="20">
      <c r="B20" s="7" t="inlineStr">
        <is>
          <t>Susuz Amonyak İmalatı</t>
        </is>
      </c>
    </row>
    <row r="21">
      <c r="B21" s="7" t="inlineStr">
        <is>
          <t>Nitrik Asit İmalatı</t>
        </is>
      </c>
    </row>
    <row r="22">
      <c r="B22" s="7" t="inlineStr">
        <is>
          <t>Birincil Formdaki Plastiklerin İmalatı</t>
        </is>
      </c>
    </row>
    <row r="23">
      <c r="B23" s="7" t="inlineStr">
        <is>
          <t>Fotovoltaik Teknolojisi Kullanılarak Elektrik Üretimi</t>
        </is>
      </c>
    </row>
    <row r="24">
      <c r="B24" s="7" t="inlineStr">
        <is>
          <t>Yoğunlaştırılmış Güneş Enerjisi (CSP) Teknolojisi Kullanılarak Elektrik Üretimi</t>
        </is>
      </c>
    </row>
    <row r="25">
      <c r="B25" s="7" t="inlineStr">
        <is>
          <t>Rüzgâr Enerjisinden Elektrik Üretimi</t>
        </is>
      </c>
    </row>
    <row r="26">
      <c r="B26" s="7" t="inlineStr">
        <is>
          <t>Dalga Enerjisi Teknolojilerinden Elektrik Üretimi</t>
        </is>
      </c>
    </row>
    <row r="27">
      <c r="B27" s="7" t="inlineStr">
        <is>
          <t>Hidroelektrik Enerjiden Elektrik Üretimi</t>
        </is>
      </c>
    </row>
    <row r="28">
      <c r="B28" s="7" t="inlineStr">
        <is>
          <t>Jeotermal Enerjiden Elektrik Üretimi</t>
        </is>
      </c>
    </row>
    <row r="29">
      <c r="B29" s="7" t="inlineStr">
        <is>
          <t>Yenilenebilir Fosil Olmayan Gaz ve Sıvı Yakıtlardan Elektrik Üretimi</t>
        </is>
      </c>
    </row>
    <row r="30">
      <c r="B30" s="7" t="inlineStr">
        <is>
          <t>Biyoenerjiden Elektrik Üretimi</t>
        </is>
      </c>
    </row>
    <row r="31">
      <c r="B31" s="7" t="inlineStr">
        <is>
          <t>Elektrik İletimi ve Dağıtımı</t>
        </is>
      </c>
    </row>
    <row r="32">
      <c r="B32" s="7" t="inlineStr">
        <is>
          <t>Elektriğin Depolanması</t>
        </is>
      </c>
    </row>
    <row r="33">
      <c r="B33" s="7" t="inlineStr">
        <is>
          <t>Termal Enerjinin Depolanması</t>
        </is>
      </c>
    </row>
    <row r="34">
      <c r="B34" s="7" t="inlineStr">
        <is>
          <t>Hidrojen Depolama</t>
        </is>
      </c>
    </row>
    <row r="35">
      <c r="B35" s="7" t="inlineStr">
        <is>
          <t>Taşımacılıkta Kullanılmak Üzere Biyogaz ve Biyoyakıt İmalatı ve Biyosıvı İmalatı</t>
        </is>
      </c>
    </row>
    <row r="36">
      <c r="B36" s="7" t="inlineStr">
        <is>
          <t>Yenilenebilir ve Düşük Karbonlu Gazlar İçin İletim ve Dağıtım Ağları</t>
        </is>
      </c>
    </row>
    <row r="37">
      <c r="B37" s="7" t="inlineStr">
        <is>
          <t>Bölgesel Isıtma/Soğutma Dağıtımı</t>
        </is>
      </c>
    </row>
    <row r="38">
      <c r="B38" s="7" t="inlineStr">
        <is>
          <t>Elektrikli Isı Pompalarının Kurulumu ve İşletimi</t>
        </is>
      </c>
    </row>
    <row r="39">
      <c r="B39" s="7" t="inlineStr">
        <is>
          <t>Güneş Enerjisinden Isı/Soğutma ve Güç Kojenerasyonu</t>
        </is>
      </c>
    </row>
    <row r="40">
      <c r="B40" s="7" t="inlineStr">
        <is>
          <t>Jeotermal Enerjiden Isı/Soğutma ve Güç Kojenerasyonu</t>
        </is>
      </c>
    </row>
    <row r="41">
      <c r="B41" s="7" t="inlineStr">
        <is>
          <t>Fosil Olmayan Yenilenebilir Gaz ve Sıvı Yakıtlardan Isı/Soğutma ve Güç Kojenerasyonu</t>
        </is>
      </c>
    </row>
    <row r="42">
      <c r="B42" s="7" t="inlineStr">
        <is>
          <t>Biyoenerjiden Isı/Soğutma ve Güç Kojenerasyonu</t>
        </is>
      </c>
    </row>
    <row r="43">
      <c r="B43" s="7" t="inlineStr">
        <is>
          <t>Güneş Enerjisiyle Termal Isıtmadan Isı/Soğutma Üretimi</t>
        </is>
      </c>
    </row>
    <row r="44">
      <c r="B44" s="7" t="inlineStr">
        <is>
          <t>Jeotermal Enerjiden Isı/Soğutma Üretimi</t>
        </is>
      </c>
    </row>
    <row r="45">
      <c r="B45" s="7" t="inlineStr">
        <is>
          <t>Fosil Olmayan Yenilenebilir Gaz ve Sıvı Yakıtlardan Isı/Soğutma Üretimi</t>
        </is>
      </c>
    </row>
    <row r="46">
      <c r="B46" s="7" t="inlineStr">
        <is>
          <t>Biyoenerjiden Isı/Soğutma Üretimi</t>
        </is>
      </c>
    </row>
    <row r="47">
      <c r="B47" s="7" t="inlineStr">
        <is>
          <t>Atık Isı Kullanarak Isı/Soğutma Üretimi</t>
        </is>
      </c>
    </row>
    <row r="48">
      <c r="B48" s="7" t="inlineStr">
        <is>
          <t>Yakıt Döngüsünden Kaynaklanan Minimum Atıkla Nükleer Süreçlerden Enerji Üretmeye Yönelik İleri Teknolojilerin Ticaret Öncesi Aşamaları</t>
        </is>
      </c>
    </row>
    <row r="49">
      <c r="B49" s="7" t="inlineStr">
        <is>
          <t>Mevcut En İyi Teknolojiler Kullanılarak, Hidrojen İmalatı De Dâhil Olmak Üzere Elektrik Ve/Veya Isı Üretimi İçin Yeni Nükleer Enerji Santrallerinin İnşa Edilmesi Ve Güvenli Bir Şekilde İşletilmesi</t>
        </is>
      </c>
    </row>
    <row r="50">
      <c r="B50" s="7" t="inlineStr">
        <is>
          <t>Mevcut Tesislerde Nükleer Enerjiden Elektrik Üretimi</t>
        </is>
      </c>
    </row>
    <row r="51">
      <c r="B51" s="7" t="inlineStr">
        <is>
          <t>Fosil Gaz Yakıtlardan Elektrik Üretimi</t>
        </is>
      </c>
    </row>
    <row r="52">
      <c r="B52" s="7" t="inlineStr">
        <is>
          <t>Fosil Gaz Yakıtlardan Yüksek Verimli Isı/Soğutma ve Güç Kojenerasyonu</t>
        </is>
      </c>
    </row>
    <row r="53">
      <c r="B53" s="7" t="inlineStr">
        <is>
          <t>Verimli Bir Bölgesel Isıtma ve Soğutma Sisteminde Fosil Gaz Yakıtlardan Isı/Soğutma Üretimi</t>
        </is>
      </c>
    </row>
    <row r="54">
      <c r="B54" s="7" t="inlineStr">
        <is>
          <t>Su Toplama, Arıtma ve Tedarik Sistemlerinin İnşası, Genişletilmesi ve İşletilmesi</t>
        </is>
      </c>
    </row>
    <row r="55">
      <c r="B55" s="7" t="inlineStr">
        <is>
          <t>Su Toplama, Arıtma ve Tedarik Sistemlerinin Yenilenmesi</t>
        </is>
      </c>
    </row>
    <row r="56">
      <c r="B56" s="7" t="inlineStr">
        <is>
          <t>Atık Su Toplama ve Arıtma Tesislerinin İnşası, Genişletilmesi ve İşletilmesi</t>
        </is>
      </c>
    </row>
    <row r="57">
      <c r="B57" s="7" t="inlineStr">
        <is>
          <t>Atık Su Toplama ve Arıtmanın Yenilenmesi</t>
        </is>
      </c>
    </row>
    <row r="58">
      <c r="B58" s="7" t="inlineStr">
        <is>
          <t>Tehlikesiz Atıkların Kaynağında Ayrıştırılmış Fraksiyonlar Halinde Toplanması ve Taşınması</t>
        </is>
      </c>
    </row>
    <row r="59">
      <c r="B59" s="7" t="inlineStr">
        <is>
          <t>Arıtma Çamurunun Anaerobik Çürütülmesi</t>
        </is>
      </c>
    </row>
    <row r="60">
      <c r="B60" s="7" t="inlineStr">
        <is>
          <t>Biyobozunur Atıkların Anaerobik Çürütülmesi</t>
        </is>
      </c>
    </row>
    <row r="61">
      <c r="B61" s="7" t="inlineStr">
        <is>
          <t>Biyobozunur Atıkların Kompostlanması</t>
        </is>
      </c>
    </row>
    <row r="62">
      <c r="B62" s="7" t="inlineStr">
        <is>
          <t>Tehlikesiz Atıklardan Malzeme Geri Kazanımı</t>
        </is>
      </c>
    </row>
    <row r="63">
      <c r="B63" s="7" t="inlineStr">
        <is>
          <t>Çöp Gazı Yakalama ve Kullanma</t>
        </is>
      </c>
    </row>
    <row r="64">
      <c r="B64" s="7" t="inlineStr">
        <is>
          <t>Karbondioksitin Taşınması</t>
        </is>
      </c>
    </row>
    <row r="65">
      <c r="B65" s="7" t="inlineStr">
        <is>
          <t>Karbondioksitin Yeraltında Kalıcı Jeolojik Depolanması</t>
        </is>
      </c>
    </row>
    <row r="66">
      <c r="B66" s="7" t="inlineStr">
        <is>
          <t>Şehirlerarası Demiryolu Yolcu Taşımacılığı</t>
        </is>
      </c>
    </row>
    <row r="67">
      <c r="B67" s="7" t="inlineStr">
        <is>
          <t>Demiryolu Yük Taşımacılığı</t>
        </is>
      </c>
    </row>
    <row r="68">
      <c r="B68" s="7" t="inlineStr">
        <is>
          <t>Şehir İçi ve Banliyö Taşımacılığı, Karayolu Yolcu Taşımacılığı</t>
        </is>
      </c>
    </row>
    <row r="69">
      <c r="B69" s="7" t="inlineStr">
        <is>
          <t>Kişisel Mobilite Cihazlarının Kullanımı, Bisiklet Lojistiği</t>
        </is>
      </c>
    </row>
    <row r="70">
      <c r="B70" s="7" t="inlineStr">
        <is>
          <t>Motosikletler, Binek Otomobiller ve Hafif Ticari Araçlarla Yapılan Taşımacılık</t>
        </is>
      </c>
    </row>
    <row r="71">
      <c r="B71" s="7" t="inlineStr">
        <is>
          <t>Karayolu ile Yük Taşımacılığı Hizmetleri</t>
        </is>
      </c>
    </row>
    <row r="72">
      <c r="B72" s="7" t="inlineStr">
        <is>
          <t>İç Sularda Yolcu Taşımacılığı</t>
        </is>
      </c>
    </row>
    <row r="73">
      <c r="B73" s="7" t="inlineStr">
        <is>
          <t>İç Sularda Yük Taşımacılığı</t>
        </is>
      </c>
    </row>
    <row r="74">
      <c r="B74" s="7" t="inlineStr">
        <is>
          <t>İç Sularda Yolcu ve Yük Taşımacılığı Yapan Araçların Güçlendirilmesi</t>
        </is>
      </c>
    </row>
    <row r="75">
      <c r="B75" s="7" t="inlineStr">
        <is>
          <t>Deniz ve Kıyı Yük Taşımacılığı, Liman Operasyonları ve Yardımcı Faaliyetlerde Kullanılan Gemiler</t>
        </is>
      </c>
    </row>
    <row r="76">
      <c r="B76" s="7" t="inlineStr">
        <is>
          <t>Deniz ve Kıyılarda Yolcu Taşımacılığı</t>
        </is>
      </c>
    </row>
    <row r="77">
      <c r="B77" s="7" t="inlineStr">
        <is>
          <t>Deniz ve Kıyılarda Yük ve Yolcu Taşımacılığı Araçlarının Güçlendirilmesi</t>
        </is>
      </c>
    </row>
    <row r="78">
      <c r="B78" s="7" t="inlineStr">
        <is>
          <t>Kişisel Hareketlilik İçin Altyapı, Bisiklet Lojistiği</t>
        </is>
      </c>
    </row>
    <row r="79">
      <c r="B79" s="7" t="inlineStr">
        <is>
          <t>Demiryolu Taşımacılığı Altyapısı</t>
        </is>
      </c>
    </row>
    <row r="80">
      <c r="B80" s="7" t="inlineStr">
        <is>
          <t>Düşük Karbonlu Karayolu Taşımacılığı ve Toplu Taşımaya Olanak Sağlayan Altyapı</t>
        </is>
      </c>
    </row>
    <row r="81">
      <c r="B81" s="7" t="inlineStr">
        <is>
          <t>Düşük Karbonlu Su Taşımacılığına Olanak Sağlayan Altyapı</t>
        </is>
      </c>
    </row>
    <row r="82">
      <c r="B82" s="7" t="inlineStr">
        <is>
          <t>Düşük Karbonlu Havalimanı Altyapısı</t>
        </is>
      </c>
    </row>
    <row r="83">
      <c r="B83" s="7" t="inlineStr">
        <is>
          <t>Yeni Binaların İnşası</t>
        </is>
      </c>
    </row>
    <row r="84">
      <c r="B84" s="7" t="inlineStr">
        <is>
          <t>Mevcut Binaların Yenilenmesi</t>
        </is>
      </c>
    </row>
    <row r="85">
      <c r="B85" s="7" t="inlineStr">
        <is>
          <t>Enerji Verimliliği Ekipmanlarının Kurulumu, Bakımı ve Onarımı</t>
        </is>
      </c>
    </row>
    <row r="86">
      <c r="B86" s="7" t="inlineStr">
        <is>
          <t>Binalarda ve Binalara Bağlı Park Yerlerinde Elektrikli Araçlar İçin Şarj İstasyonlarının Kurulumu, Bakımı ve Onarımı</t>
        </is>
      </c>
    </row>
    <row r="87">
      <c r="B87" s="7" t="inlineStr">
        <is>
          <t>Binaların Enerji Performansını Ölçmek, Düzenlemek ve Kontrol Etmek İçin Kullanılan Alet ve Cihazların Kurulumu, Bakımı ve Onarımı</t>
        </is>
      </c>
    </row>
    <row r="88">
      <c r="B88" s="7" t="inlineStr">
        <is>
          <t>Yenilenebilir Enerji Teknolojilerinin Kurulumu, Bakımı ve Onarımı</t>
        </is>
      </c>
    </row>
    <row r="89">
      <c r="B89" s="7" t="inlineStr">
        <is>
          <t>Binaların Satın Alınması ve Mülkiyeti</t>
        </is>
      </c>
    </row>
    <row r="90">
      <c r="B90" s="7" t="inlineStr">
        <is>
          <t>Veri İşleme, Barındırma ve İlgili Faaliyetler</t>
        </is>
      </c>
    </row>
    <row r="91">
      <c r="B91" s="7" t="inlineStr">
        <is>
          <t>Sera Gazı Emisyonlarının Azaltılması İçin Veriye Dayalı Çözümler</t>
        </is>
      </c>
    </row>
    <row r="92">
      <c r="B92" s="7" t="inlineStr">
        <is>
          <t>Pazar Araştırması, Geliştirme ve İnovasyona Yakın</t>
        </is>
      </c>
    </row>
    <row r="93">
      <c r="B93" s="7" t="inlineStr">
        <is>
          <t>Karbondioksitin Doğrudan Havadan Yakalanması İçin Araştırma, Geliştirme ve İnovasyon</t>
        </is>
      </c>
    </row>
    <row r="94">
      <c r="B94" s="7" t="inlineStr">
        <is>
          <t>Binaların Enerji Performansı İle İlgili Profesyonel Hizmetler</t>
        </is>
      </c>
    </row>
    <row r="95">
      <c r="B95" s="7" t="inlineStr">
        <is>
          <t>Bitkisel ve Hayvansal Üretim</t>
        </is>
      </c>
    </row>
    <row r="96">
      <c r="B96" s="7" t="inlineStr">
        <is>
          <t>Turizm, Gezi ve Turizm Konaklama Faaliyetleri</t>
        </is>
      </c>
    </row>
    <row r="97">
      <c r="B97" s="7" t="inlineStr">
        <is>
          <t>Karayolu Taşımacılığı ve Toplu Taşımaya Olanak Sağlayan Altyapı</t>
        </is>
      </c>
    </row>
    <row r="98">
      <c r="B98" s="7" t="inlineStr">
        <is>
          <t>Su Taşımacılığına Olanak Sağlayan Altyapı</t>
        </is>
      </c>
    </row>
    <row r="99">
      <c r="B99" s="7" t="inlineStr">
        <is>
          <t>Havalimanı Altyapısı</t>
        </is>
      </c>
    </row>
    <row r="100">
      <c r="B100" s="7" t="inlineStr">
        <is>
          <t>Bilgisayar Programlama, Danışmanlık ve İlgili Faaliyetler</t>
        </is>
      </c>
    </row>
    <row r="101">
      <c r="B101" s="7" t="inlineStr">
        <is>
          <t>Programlama ve Yayıncılık Faaliyetleri (Kolaylaştırıcı Faaliyet)</t>
        </is>
      </c>
    </row>
    <row r="102">
      <c r="B102" s="7" t="inlineStr">
        <is>
          <t>İklim Değişikliğine Uyum Sağlamaya Yönelik Mühendislik Faaliyetleri ve İlgili Teknik Danışmanlık</t>
        </is>
      </c>
    </row>
    <row r="103">
      <c r="B103" s="7" t="inlineStr">
        <is>
          <t>Kütüphaneler, Arşivler, Müzeler ve Kültürel Faaliyetler (Kolaylaştırıcı Faaliyet)</t>
        </is>
      </c>
    </row>
    <row r="104">
      <c r="B104" s="7" t="inlineStr">
        <is>
          <t>Hayat Dışı Sigorta: İklimle İlgili Risklerin Sigortalanması (Kolaylaştırıcı Faaliyet)</t>
        </is>
      </c>
    </row>
    <row r="105">
      <c r="B105" s="7" t="inlineStr">
        <is>
          <t>Reasürans (Kolaylaştırıcı Faaliyet)</t>
        </is>
      </c>
    </row>
    <row r="106">
      <c r="B106" s="7" t="inlineStr">
        <is>
          <t>Su Tedarik Sistemlerinde Sızıntının Azaltılmasını ve Önlenmesini Sağlayan Sızıntı Kontrol Teknolojilerinin İmalatı, Kurulumu ve İlgili Hizmetler (Kolaylaştırıcı Faaliyet)</t>
        </is>
      </c>
    </row>
    <row r="107">
      <c r="B107" s="7" t="inlineStr">
        <is>
          <t>Su Temini</t>
        </is>
      </c>
    </row>
    <row r="108">
      <c r="B108" s="7" t="inlineStr">
        <is>
          <t>Kentsel Atıksu Arıtımı</t>
        </is>
      </c>
    </row>
    <row r="109">
      <c r="B109" s="7" t="inlineStr">
        <is>
          <t>Sürdürülebilir Kentsel Drenaj Sistemleri</t>
        </is>
      </c>
    </row>
    <row r="110">
      <c r="B110" s="7" t="inlineStr">
        <is>
          <t>Sel ve Kuraklık Risklerinin Önlenmesi ve Korunması İçin Doğa Temelli Çözümler</t>
        </is>
      </c>
    </row>
    <row r="111">
      <c r="B111" s="7" t="inlineStr">
        <is>
          <t>Kaçakların Azaltılması İçin Bilgi Teknolojisi veya Operasyon Teknolojisi Altında Veri Odaklı Çözümlerin Sağlanması (Kolaylaştırıcı Faaliyet)</t>
        </is>
      </c>
    </row>
    <row r="112">
      <c r="B112" s="7" t="inlineStr">
        <is>
          <t>Plastik Ambalaj Ürünleri İmalatı</t>
        </is>
      </c>
    </row>
    <row r="113">
      <c r="B113" s="7" t="inlineStr">
        <is>
          <t>Elektrikli ve Elektronik Ekipman İmalatı</t>
        </is>
      </c>
    </row>
    <row r="114">
      <c r="B114" s="7" t="inlineStr">
        <is>
          <t>Atık Sudan Fosfor Geri Kazanımı</t>
        </is>
      </c>
    </row>
    <row r="115">
      <c r="B115" s="7" t="inlineStr">
        <is>
          <t>İnsan Tüketimi Dışındaki Amaçlar İçin Alternatif Su Kaynaklarının Üretimi</t>
        </is>
      </c>
    </row>
    <row r="116">
      <c r="B116" s="7" t="inlineStr">
        <is>
          <t>Tehlikesiz ve Tehlikeli Atıkların Toplanması ve Taşınması</t>
        </is>
      </c>
    </row>
    <row r="117">
      <c r="B117" s="7" t="inlineStr">
        <is>
          <t>Tehlikeli Atıkların Arıtılması</t>
        </is>
      </c>
    </row>
    <row r="118">
      <c r="B118" s="7" t="inlineStr">
        <is>
          <t>Biyobozunur Atıkların Anaerobik Çürütme veya Kompostlama Yoluyla Geri Kazanımı</t>
        </is>
      </c>
    </row>
    <row r="119">
      <c r="B119" s="7" t="inlineStr">
        <is>
          <t>Ömrünü Tamamlamış Ürünlerin Kirletilmemesi ve Sökülmesi</t>
        </is>
      </c>
    </row>
    <row r="120">
      <c r="B120" s="7" t="inlineStr">
        <is>
          <t>Tehlikesiz Atıkların Ayrıştırılması ve Malzeme Geri Kazanımı</t>
        </is>
      </c>
    </row>
    <row r="121">
      <c r="B121" s="7" t="inlineStr">
        <is>
          <t>Binaların ve Diğer Yapıların Yıkımı ve Enkazı</t>
        </is>
      </c>
    </row>
    <row r="122">
      <c r="B122" s="7" t="inlineStr">
        <is>
          <t>Yolların ve Otoyolların Bakımı</t>
        </is>
      </c>
    </row>
    <row r="123">
      <c r="B123" s="7" t="inlineStr">
        <is>
          <t>İnşaat Mühendisliğinde Beton Kullanımı</t>
        </is>
      </c>
    </row>
    <row r="124">
      <c r="B124" s="7" t="inlineStr">
        <is>
          <t>BT/OT (Bilgi Teknolojisi/Operasyonel Teknoloji) Veri Odaklı Çözümlerin Sağlanması (Kolaylaştırıcı Faaliyet)</t>
        </is>
      </c>
    </row>
    <row r="125">
      <c r="B125" s="7" t="inlineStr">
        <is>
          <t>Onarım, Yenileme ve Yeniden Üretim</t>
        </is>
      </c>
    </row>
    <row r="126">
      <c r="B126" s="7" t="inlineStr">
        <is>
          <t>Yedek Parça Satışı</t>
        </is>
      </c>
    </row>
    <row r="127">
      <c r="B127" s="7" t="inlineStr">
        <is>
          <t>Ömrünü Tamamlamış Ürünlerin ve Ürün Bileşenlerinin Yeniden Kullanımı İçin Hazırlık</t>
        </is>
      </c>
    </row>
    <row r="128">
      <c r="B128" s="7" t="inlineStr">
        <is>
          <t>İkinci El Malların Satışı</t>
        </is>
      </c>
    </row>
    <row r="129">
      <c r="B129" s="7" t="inlineStr">
        <is>
          <t>Hizmet Olarak Ürün ve Diğer Döngüsel Kullanım ve Sonuç Odaklı Hizmet Modelleri</t>
        </is>
      </c>
    </row>
    <row r="130">
      <c r="B130" s="7" t="inlineStr">
        <is>
          <t>Yeniden Kullanım İçin İkinci El Malların Ticaretine Yönelik Pazar Yeri (Kolaylaştırıcı Faaliyet)</t>
        </is>
      </c>
    </row>
    <row r="131">
      <c r="B131" s="7" t="inlineStr">
        <is>
          <t>Aktif Farmasötik Bileşenlerin veya Aktif Maddelerin İmalatı</t>
        </is>
      </c>
    </row>
    <row r="132">
      <c r="B132" s="7" t="inlineStr">
        <is>
          <t>Tıbbi Ürünlerin İmalatı</t>
        </is>
      </c>
    </row>
    <row r="133">
      <c r="B133" s="7" t="inlineStr">
        <is>
          <t>Tehlikeli Atıkların Toplanması ve Taşınması</t>
        </is>
      </c>
    </row>
    <row r="134">
      <c r="B134" s="7" t="inlineStr">
        <is>
          <t>Yasal Olarak Uygun Olmayan Düzenli Depolama Sahalarının ve Terk Edilmiş veya Yasadışı Atık Depolama Alanlarının İyileştirilmesi</t>
        </is>
      </c>
    </row>
    <row r="135">
      <c r="B135" s="7" t="inlineStr">
        <is>
          <t>Kirlenmiş Sahaların ve Alanların İyileştirilmesi</t>
        </is>
      </c>
    </row>
    <row r="136">
      <c r="B136" s="7" t="inlineStr">
        <is>
          <t>Habitatların, Ekosistemlerin ve Türlerin Restorasyonu da Dahil Olmak Üzere Korunması</t>
        </is>
      </c>
    </row>
    <row r="137">
      <c r="B137" s="7" t="inlineStr">
        <is>
          <t>Oteller, Tatil, Kamp Alanları ve Benzeri Konaklama Yerleri</t>
        </is>
      </c>
    </row>
  </sheetData>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D23"/>
  <sheetViews>
    <sheetView showGridLines="0" workbookViewId="0">
      <pane ySplit="2" topLeftCell="A3" activePane="bottomLeft" state="frozen"/>
      <selection pane="bottomLeft" activeCell="A1" sqref="A1"/>
    </sheetView>
  </sheetViews>
  <sheetFormatPr baseColWidth="8" defaultRowHeight="15"/>
  <cols>
    <col width="8" customWidth="1" min="1" max="1"/>
    <col width="48" customWidth="1" min="2" max="2"/>
    <col width="18" customWidth="1" min="3" max="3"/>
    <col width="45" customWidth="1" min="4" max="4"/>
  </cols>
  <sheetData>
    <row r="1" ht="30" customHeight="1">
      <c r="A1" s="1" t="inlineStr">
        <is>
          <t>ŞİRKET HAZIRLIK KONTROL LİSTESİ</t>
        </is>
      </c>
    </row>
    <row r="2" ht="36" customHeight="1">
      <c r="A2" s="10" t="inlineStr">
        <is>
          <t>No</t>
        </is>
      </c>
      <c r="B2" s="10" t="inlineStr">
        <is>
          <t>Kontrol Maddesi</t>
        </is>
      </c>
      <c r="C2" s="10" t="inlineStr">
        <is>
          <t>Durum</t>
        </is>
      </c>
      <c r="D2" s="10" t="inlineStr">
        <is>
          <t>Not</t>
        </is>
      </c>
    </row>
    <row r="3">
      <c r="A3" s="7" t="n">
        <v>1</v>
      </c>
      <c r="B3" s="7" t="inlineStr">
        <is>
          <t>Faaliyet eşleştirmesi yapıldı</t>
        </is>
      </c>
      <c r="C3" s="19" t="inlineStr">
        <is>
          <t>Eksik</t>
        </is>
      </c>
    </row>
    <row r="4">
      <c r="A4" s="7" t="n">
        <v>2</v>
      </c>
      <c r="B4" s="7" t="inlineStr">
        <is>
          <t>İlgili EK-1 faaliyeti belirlendi</t>
        </is>
      </c>
      <c r="C4" s="19" t="inlineStr">
        <is>
          <t>Eksik</t>
        </is>
      </c>
    </row>
    <row r="5">
      <c r="A5" s="7" t="n">
        <v>3</v>
      </c>
      <c r="B5" s="7" t="inlineStr">
        <is>
          <t>NACE kodu kontrol edildi</t>
        </is>
      </c>
      <c r="C5" s="19" t="inlineStr">
        <is>
          <t>Eksik</t>
        </is>
      </c>
    </row>
    <row r="6">
      <c r="A6" s="7" t="n">
        <v>4</v>
      </c>
      <c r="B6" s="7" t="inlineStr">
        <is>
          <t>Enerji tüketim verileri hazır</t>
        </is>
      </c>
      <c r="C6" s="19" t="inlineStr">
        <is>
          <t>Eksik</t>
        </is>
      </c>
    </row>
    <row r="7">
      <c r="A7" s="7" t="n">
        <v>5</v>
      </c>
      <c r="B7" s="7" t="inlineStr">
        <is>
          <t>Yakıt tüketim verileri hazır</t>
        </is>
      </c>
      <c r="C7" s="19" t="inlineStr">
        <is>
          <t>Eksik</t>
        </is>
      </c>
    </row>
    <row r="8">
      <c r="A8" s="7" t="n">
        <v>6</v>
      </c>
      <c r="B8" s="7" t="inlineStr">
        <is>
          <t>Sera gazı emisyon verileri hazır</t>
        </is>
      </c>
      <c r="C8" s="19" t="inlineStr">
        <is>
          <t>Eksik</t>
        </is>
      </c>
    </row>
    <row r="9">
      <c r="A9" s="7" t="n">
        <v>7</v>
      </c>
      <c r="B9" s="7" t="inlineStr">
        <is>
          <t>Scope 1 verileri hazır</t>
        </is>
      </c>
      <c r="C9" s="19" t="inlineStr">
        <is>
          <t>Eksik</t>
        </is>
      </c>
    </row>
    <row r="10">
      <c r="A10" s="7" t="n">
        <v>8</v>
      </c>
      <c r="B10" s="7" t="inlineStr">
        <is>
          <t>Scope 2 verileri hazır</t>
        </is>
      </c>
      <c r="C10" s="19" t="inlineStr">
        <is>
          <t>Eksik</t>
        </is>
      </c>
    </row>
    <row r="11">
      <c r="A11" s="7" t="n">
        <v>9</v>
      </c>
      <c r="B11" s="7" t="inlineStr">
        <is>
          <t>Su tüketim verileri hazır</t>
        </is>
      </c>
      <c r="C11" s="19" t="inlineStr">
        <is>
          <t>Eksik</t>
        </is>
      </c>
    </row>
    <row r="12">
      <c r="A12" s="7" t="n">
        <v>10</v>
      </c>
      <c r="B12" s="7" t="inlineStr">
        <is>
          <t>Atık verileri hazır</t>
        </is>
      </c>
      <c r="C12" s="19" t="inlineStr">
        <is>
          <t>Eksik</t>
        </is>
      </c>
    </row>
    <row r="13">
      <c r="A13" s="7" t="n">
        <v>11</v>
      </c>
      <c r="B13" s="7" t="inlineStr">
        <is>
          <t>Çevresel izinler kontrol edildi</t>
        </is>
      </c>
      <c r="C13" s="19" t="inlineStr">
        <is>
          <t>Eksik</t>
        </is>
      </c>
    </row>
    <row r="14">
      <c r="A14" s="7" t="n">
        <v>12</v>
      </c>
      <c r="B14" s="7" t="inlineStr">
        <is>
          <t>Enerji verimliliği verileri hazır</t>
        </is>
      </c>
      <c r="C14" s="19" t="inlineStr">
        <is>
          <t>Eksik</t>
        </is>
      </c>
    </row>
    <row r="15">
      <c r="A15" s="7" t="n">
        <v>13</v>
      </c>
      <c r="B15" s="7" t="inlineStr">
        <is>
          <t>GES/BESS verileri hazır</t>
        </is>
      </c>
      <c r="C15" s="19" t="inlineStr">
        <is>
          <t>Eksik</t>
        </is>
      </c>
    </row>
    <row r="16">
      <c r="A16" s="7" t="n">
        <v>14</v>
      </c>
      <c r="B16" s="7" t="inlineStr">
        <is>
          <t>Karbon azaltım projeleri belgelendi</t>
        </is>
      </c>
      <c r="C16" s="19" t="inlineStr">
        <is>
          <t>Eksik</t>
        </is>
      </c>
    </row>
    <row r="17">
      <c r="A17" s="7" t="n">
        <v>15</v>
      </c>
      <c r="B17" s="7" t="inlineStr">
        <is>
          <t>CAPEX verileri hazır</t>
        </is>
      </c>
      <c r="C17" s="19" t="inlineStr">
        <is>
          <t>Eksik</t>
        </is>
      </c>
    </row>
    <row r="18">
      <c r="A18" s="7" t="n">
        <v>16</v>
      </c>
      <c r="B18" s="7" t="inlineStr">
        <is>
          <t>OPEX verileri hazır</t>
        </is>
      </c>
      <c r="C18" s="19" t="inlineStr">
        <is>
          <t>Eksik</t>
        </is>
      </c>
    </row>
    <row r="19">
      <c r="A19" s="7" t="n">
        <v>17</v>
      </c>
      <c r="B19" s="7" t="inlineStr">
        <is>
          <t>Yatırım projeleri listelendi</t>
        </is>
      </c>
      <c r="C19" s="19" t="inlineStr">
        <is>
          <t>Eksik</t>
        </is>
      </c>
    </row>
    <row r="20">
      <c r="A20" s="7" t="n">
        <v>18</v>
      </c>
      <c r="B20" s="7" t="inlineStr">
        <is>
          <t>Teknik belgeler hazır</t>
        </is>
      </c>
      <c r="C20" s="19" t="inlineStr">
        <is>
          <t>Eksik</t>
        </is>
      </c>
    </row>
    <row r="21">
      <c r="A21" s="7" t="n">
        <v>19</v>
      </c>
      <c r="B21" s="7" t="inlineStr">
        <is>
          <t>Sosyal koruma belgeleri hazır</t>
        </is>
      </c>
      <c r="C21" s="19" t="inlineStr">
        <is>
          <t>Eksik</t>
        </is>
      </c>
    </row>
    <row r="22">
      <c r="A22" s="7" t="n">
        <v>20</v>
      </c>
      <c r="B22" s="7" t="inlineStr">
        <is>
          <t>DNSH için gerekli veriler incelendi</t>
        </is>
      </c>
      <c r="C22" s="19" t="inlineStr">
        <is>
          <t>Eksik</t>
        </is>
      </c>
    </row>
    <row r="23">
      <c r="A23" s="7" t="n">
        <v>21</v>
      </c>
      <c r="B23" s="7" t="inlineStr">
        <is>
          <t>Teknik tarama kriterleri kontrol edildi</t>
        </is>
      </c>
      <c r="C23" s="19" t="inlineStr">
        <is>
          <t>Eksik</t>
        </is>
      </c>
    </row>
  </sheetData>
  <mergeCells count="1">
    <mergeCell ref="A1:D1"/>
  </mergeCells>
  <conditionalFormatting sqref="C3:C23">
    <cfRule type="expression" priority="1" dxfId="0">
      <formula>C3="Tamamlandı"</formula>
    </cfRule>
    <cfRule type="expression" priority="2" dxfId="1">
      <formula>C3="İnceleniyor"</formula>
    </cfRule>
    <cfRule type="expression" priority="3" dxfId="2">
      <formula>C3="Eksik"</formula>
    </cfRule>
    <cfRule type="expression" priority="4" dxfId="3">
      <formula>C3="Uygulanamaz"</formula>
    </cfRule>
  </conditionalFormatting>
  <dataValidations count="1">
    <dataValidation sqref="C3 C4 C5 C6 C7 C8 C9 C10 C11 C12 C13 C14 C15 C16 C17 C18 C19 C20 C21 C22 C23" showDropDown="0" showInputMessage="0" showErrorMessage="0" allowBlank="0" type="list">
      <formula1>"Tamamlandı,İnceleniyor,Eksik,Uygulanamaz"</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J32"/>
  <sheetViews>
    <sheetView showGridLines="0" workbookViewId="0">
      <pane ySplit="2" topLeftCell="A3" activePane="bottomLeft" state="frozen"/>
      <selection pane="bottomLeft" activeCell="A1" sqref="A1"/>
    </sheetView>
  </sheetViews>
  <sheetFormatPr baseColWidth="8" defaultRowHeight="15"/>
  <cols>
    <col width="28" customWidth="1" min="1" max="1"/>
    <col width="38" customWidth="1" min="2" max="2"/>
    <col width="38" customWidth="1" min="3" max="3"/>
    <col width="35" customWidth="1" min="4" max="4"/>
    <col width="14" customWidth="1" min="5" max="5"/>
    <col width="30" customWidth="1" min="6" max="6"/>
    <col width="22" customWidth="1" min="7" max="7"/>
    <col width="16" customWidth="1" min="8" max="8"/>
    <col width="14" customWidth="1" min="9" max="9"/>
    <col width="38" customWidth="1" min="10" max="10"/>
  </cols>
  <sheetData>
    <row r="1" ht="30" customHeight="1">
      <c r="A1" s="1" t="inlineStr">
        <is>
          <t>KANIT / BELGE ENVANTERİ</t>
        </is>
      </c>
    </row>
    <row r="2" ht="36" customHeight="1">
      <c r="A2" s="10" t="inlineStr">
        <is>
          <t>Belge / Veri</t>
        </is>
      </c>
      <c r="B2" s="10" t="inlineStr">
        <is>
          <t>Neden Gerekli?</t>
        </is>
      </c>
      <c r="C2" s="10" t="inlineStr">
        <is>
          <t>İlgili Faaliyet</t>
        </is>
      </c>
      <c r="D2" s="10" t="inlineStr">
        <is>
          <t>İlgili Çevresel Hedef</t>
        </is>
      </c>
      <c r="E2" s="10" t="inlineStr">
        <is>
          <t>Mevcut mu?</t>
        </is>
      </c>
      <c r="F2" s="10" t="inlineStr">
        <is>
          <t>Dosya / Referans</t>
        </is>
      </c>
      <c r="G2" s="10" t="inlineStr">
        <is>
          <t>Sorumlu Birim</t>
        </is>
      </c>
      <c r="H2" s="10" t="inlineStr">
        <is>
          <t>Son Güncelleme</t>
        </is>
      </c>
      <c r="I2" s="10" t="inlineStr">
        <is>
          <t>Eksik / Tam</t>
        </is>
      </c>
      <c r="J2" s="10" t="inlineStr">
        <is>
          <t>Not</t>
        </is>
      </c>
    </row>
    <row r="3">
      <c r="E3" s="21" t="inlineStr">
        <is>
          <t>Hayır</t>
        </is>
      </c>
      <c r="I3" s="21" t="inlineStr">
        <is>
          <t>Eksik</t>
        </is>
      </c>
    </row>
    <row r="4">
      <c r="E4" s="21" t="inlineStr">
        <is>
          <t>Hayır</t>
        </is>
      </c>
      <c r="I4" s="21" t="inlineStr">
        <is>
          <t>Eksik</t>
        </is>
      </c>
    </row>
    <row r="5">
      <c r="E5" s="21" t="inlineStr">
        <is>
          <t>Hayır</t>
        </is>
      </c>
      <c r="I5" s="21" t="inlineStr">
        <is>
          <t>Eksik</t>
        </is>
      </c>
    </row>
    <row r="6">
      <c r="E6" s="21" t="inlineStr">
        <is>
          <t>Hayır</t>
        </is>
      </c>
      <c r="I6" s="21" t="inlineStr">
        <is>
          <t>Eksik</t>
        </is>
      </c>
    </row>
    <row r="7">
      <c r="E7" s="21" t="inlineStr">
        <is>
          <t>Hayır</t>
        </is>
      </c>
      <c r="I7" s="21" t="inlineStr">
        <is>
          <t>Eksik</t>
        </is>
      </c>
    </row>
    <row r="8">
      <c r="E8" s="21" t="inlineStr">
        <is>
          <t>Hayır</t>
        </is>
      </c>
      <c r="I8" s="21" t="inlineStr">
        <is>
          <t>Eksik</t>
        </is>
      </c>
    </row>
    <row r="9">
      <c r="E9" s="21" t="inlineStr">
        <is>
          <t>Hayır</t>
        </is>
      </c>
      <c r="I9" s="21" t="inlineStr">
        <is>
          <t>Eksik</t>
        </is>
      </c>
    </row>
    <row r="10">
      <c r="E10" s="21" t="inlineStr">
        <is>
          <t>Hayır</t>
        </is>
      </c>
      <c r="I10" s="21" t="inlineStr">
        <is>
          <t>Eksik</t>
        </is>
      </c>
    </row>
    <row r="11">
      <c r="E11" s="21" t="inlineStr">
        <is>
          <t>Hayır</t>
        </is>
      </c>
      <c r="I11" s="21" t="inlineStr">
        <is>
          <t>Eksik</t>
        </is>
      </c>
    </row>
    <row r="12">
      <c r="E12" s="21" t="inlineStr">
        <is>
          <t>Hayır</t>
        </is>
      </c>
      <c r="I12" s="21" t="inlineStr">
        <is>
          <t>Eksik</t>
        </is>
      </c>
    </row>
    <row r="13">
      <c r="E13" s="21" t="inlineStr">
        <is>
          <t>Hayır</t>
        </is>
      </c>
      <c r="I13" s="21" t="inlineStr">
        <is>
          <t>Eksik</t>
        </is>
      </c>
    </row>
    <row r="14">
      <c r="E14" s="21" t="inlineStr">
        <is>
          <t>Hayır</t>
        </is>
      </c>
      <c r="I14" s="21" t="inlineStr">
        <is>
          <t>Eksik</t>
        </is>
      </c>
    </row>
    <row r="15">
      <c r="E15" s="21" t="inlineStr">
        <is>
          <t>Hayır</t>
        </is>
      </c>
      <c r="I15" s="21" t="inlineStr">
        <is>
          <t>Eksik</t>
        </is>
      </c>
    </row>
    <row r="16">
      <c r="E16" s="21" t="inlineStr">
        <is>
          <t>Hayır</t>
        </is>
      </c>
      <c r="I16" s="21" t="inlineStr">
        <is>
          <t>Eksik</t>
        </is>
      </c>
    </row>
    <row r="17">
      <c r="E17" s="21" t="inlineStr">
        <is>
          <t>Hayır</t>
        </is>
      </c>
      <c r="I17" s="21" t="inlineStr">
        <is>
          <t>Eksik</t>
        </is>
      </c>
    </row>
    <row r="18">
      <c r="E18" s="21" t="inlineStr">
        <is>
          <t>Hayır</t>
        </is>
      </c>
      <c r="I18" s="21" t="inlineStr">
        <is>
          <t>Eksik</t>
        </is>
      </c>
    </row>
    <row r="19">
      <c r="E19" s="21" t="inlineStr">
        <is>
          <t>Hayır</t>
        </is>
      </c>
      <c r="I19" s="21" t="inlineStr">
        <is>
          <t>Eksik</t>
        </is>
      </c>
    </row>
    <row r="20">
      <c r="E20" s="21" t="inlineStr">
        <is>
          <t>Hayır</t>
        </is>
      </c>
      <c r="I20" s="21" t="inlineStr">
        <is>
          <t>Eksik</t>
        </is>
      </c>
    </row>
    <row r="21">
      <c r="E21" s="21" t="inlineStr">
        <is>
          <t>Hayır</t>
        </is>
      </c>
      <c r="I21" s="21" t="inlineStr">
        <is>
          <t>Eksik</t>
        </is>
      </c>
    </row>
    <row r="22">
      <c r="E22" s="21" t="inlineStr">
        <is>
          <t>Hayır</t>
        </is>
      </c>
      <c r="I22" s="21" t="inlineStr">
        <is>
          <t>Eksik</t>
        </is>
      </c>
    </row>
    <row r="23">
      <c r="E23" s="21" t="inlineStr">
        <is>
          <t>Hayır</t>
        </is>
      </c>
      <c r="I23" s="21" t="inlineStr">
        <is>
          <t>Eksik</t>
        </is>
      </c>
    </row>
    <row r="24">
      <c r="E24" s="21" t="inlineStr">
        <is>
          <t>Hayır</t>
        </is>
      </c>
      <c r="I24" s="21" t="inlineStr">
        <is>
          <t>Eksik</t>
        </is>
      </c>
    </row>
    <row r="25">
      <c r="E25" s="21" t="inlineStr">
        <is>
          <t>Hayır</t>
        </is>
      </c>
      <c r="I25" s="21" t="inlineStr">
        <is>
          <t>Eksik</t>
        </is>
      </c>
    </row>
    <row r="26">
      <c r="E26" s="21" t="inlineStr">
        <is>
          <t>Hayır</t>
        </is>
      </c>
      <c r="I26" s="21" t="inlineStr">
        <is>
          <t>Eksik</t>
        </is>
      </c>
    </row>
    <row r="27">
      <c r="E27" s="21" t="inlineStr">
        <is>
          <t>Hayır</t>
        </is>
      </c>
      <c r="I27" s="21" t="inlineStr">
        <is>
          <t>Eksik</t>
        </is>
      </c>
    </row>
    <row r="28">
      <c r="E28" s="21" t="inlineStr">
        <is>
          <t>Hayır</t>
        </is>
      </c>
      <c r="I28" s="21" t="inlineStr">
        <is>
          <t>Eksik</t>
        </is>
      </c>
    </row>
    <row r="29">
      <c r="E29" s="21" t="inlineStr">
        <is>
          <t>Hayır</t>
        </is>
      </c>
      <c r="I29" s="21" t="inlineStr">
        <is>
          <t>Eksik</t>
        </is>
      </c>
    </row>
    <row r="30">
      <c r="E30" s="21" t="inlineStr">
        <is>
          <t>Hayır</t>
        </is>
      </c>
      <c r="I30" s="21" t="inlineStr">
        <is>
          <t>Eksik</t>
        </is>
      </c>
    </row>
    <row r="31">
      <c r="E31" s="21" t="inlineStr">
        <is>
          <t>Hayır</t>
        </is>
      </c>
      <c r="I31" s="21" t="inlineStr">
        <is>
          <t>Eksik</t>
        </is>
      </c>
    </row>
    <row r="32">
      <c r="E32" s="21" t="inlineStr">
        <is>
          <t>Hayır</t>
        </is>
      </c>
      <c r="I32" s="21" t="inlineStr">
        <is>
          <t>Eksik</t>
        </is>
      </c>
    </row>
  </sheetData>
  <mergeCells count="1">
    <mergeCell ref="A1:J1"/>
  </mergeCells>
  <dataValidations count="2">
    <dataValidation sqref="E3 E4 E5 E6 E7 E8 E9 E10 E11 E12 E13 E14 E15 E16 E17 E18 E19 E20 E21 E22 E23 E24 E25 E26 E27 E28 E29 E30 E31 E32" showDropDown="0" showInputMessage="0" showErrorMessage="0" allowBlank="0" type="list">
      <formula1>"Evet,Hayır,Kısmen,Uygulanamaz"</formula1>
    </dataValidation>
    <dataValidation sqref="I3 I4 I5 I6 I7 I8 I9 I10 I11 I12 I13 I14 I15 I16 I17 I18 I19 I20 I21 I22 I23 I24 I25 I26 I27 I28 I29 I30 I31 I32" showDropDown="0" showInputMessage="0" showErrorMessage="0" allowBlank="0" type="list">
      <formula1>"Eksik,Tam,İnceleniyor"</formula1>
    </dataValidation>
  </dataValidations>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H16"/>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5" customWidth="1" min="5" max="5"/>
    <col width="20" customWidth="1" min="6" max="6"/>
    <col width="20" customWidth="1" min="7" max="7"/>
    <col width="20" customWidth="1" min="8" max="8"/>
  </cols>
  <sheetData>
    <row r="1" ht="30" customHeight="1">
      <c r="A1" s="1" t="inlineStr">
        <is>
          <t>FAALİYET EŞLEŞTİRME | ARAMA VE REFERANS</t>
        </is>
      </c>
    </row>
    <row r="2"/>
    <row r="3">
      <c r="A3" s="15" t="inlineStr">
        <is>
          <t>Sektör seç</t>
        </is>
      </c>
      <c r="B3" s="19" t="inlineStr"/>
    </row>
    <row r="4">
      <c r="A4" s="15" t="inlineStr">
        <is>
          <t>Faaliyet seç</t>
        </is>
      </c>
      <c r="B4" s="19" t="inlineStr"/>
    </row>
    <row r="5">
      <c r="A5" s="15" t="inlineStr">
        <is>
          <t>NACE kodu ara</t>
        </is>
      </c>
      <c r="B5" s="19" t="inlineStr"/>
    </row>
    <row r="6">
      <c r="A6" s="15" t="inlineStr">
        <is>
          <t>Anahtar kelime ara</t>
        </is>
      </c>
      <c r="B6" s="19" t="inlineStr"/>
    </row>
    <row r="7"/>
    <row r="8"/>
    <row r="9">
      <c r="A9" s="17" t="inlineStr">
        <is>
          <t>NACE kodu eşleştirmeyi destekleyen bir referanstır; tek başına taksonomi uyumluluğunu kanıtlamaz. Şirketin fiilen yürüttüğü ekonomik faaliyet esas alınmalıdır. Dinamik filtreleme için ana veri tablosundaki filtreleri veya Excel’in Arama özelliğini kullanın.</t>
        </is>
      </c>
    </row>
    <row r="10"/>
    <row r="11"/>
    <row r="12"/>
    <row r="13"/>
    <row r="14">
      <c r="A14" s="7" t="inlineStr">
        <is>
          <t>Seçilen faaliyet</t>
        </is>
      </c>
      <c r="B14" s="7">
        <f>B4</f>
        <v/>
      </c>
    </row>
    <row r="15">
      <c r="A15" s="7" t="inlineStr">
        <is>
          <t>EK-1 kapsamı</t>
        </is>
      </c>
      <c r="B15" s="7">
        <f>IF(B4="","EŞLEŞTİRME GEREKLİ",IF(COUNTIF('137 EKONOMİK FAALİYET'!$E$3:$E$139,B4)&gt;0,"EVET","HAYIR"))</f>
        <v/>
      </c>
    </row>
    <row r="16">
      <c r="A16" s="7" t="inlineStr">
        <is>
          <t>Sonuç</t>
        </is>
      </c>
      <c r="B16" s="7">
        <f>IF(B15="EVET","Teknik kriter incelemesi gerekli","Henüz doğrulanmadı")</f>
        <v/>
      </c>
    </row>
  </sheetData>
  <mergeCells count="6">
    <mergeCell ref="B3:D3"/>
    <mergeCell ref="B5:D5"/>
    <mergeCell ref="B4:D4"/>
    <mergeCell ref="A9:H11"/>
    <mergeCell ref="A1:H1"/>
    <mergeCell ref="B6:D6"/>
  </mergeCells>
  <dataValidations count="2">
    <dataValidation sqref="B3" showDropDown="0" showInputMessage="0" showErrorMessage="0" allowBlank="0" type="list">
      <formula1>='_LISTELER'!$A$1:$A$16</formula1>
    </dataValidation>
    <dataValidation sqref="B4" showDropDown="0" showInputMessage="0" showErrorMessage="0" allowBlank="0" type="list">
      <formula1>='_LISTELER'!$B$1:$B$137</formula1>
    </dataValidation>
  </dataValidations>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E5"/>
  <sheetViews>
    <sheetView showGridLines="0" workbookViewId="0">
      <pane ySplit="2" topLeftCell="A3" activePane="bottomLeft" state="frozen"/>
      <selection pane="bottomLeft" activeCell="A1" sqref="A1"/>
    </sheetView>
  </sheetViews>
  <sheetFormatPr baseColWidth="8" defaultRowHeight="15"/>
  <cols>
    <col width="16" customWidth="1" min="1" max="1"/>
    <col width="24" customWidth="1" min="2" max="2"/>
    <col width="23" customWidth="1" min="3" max="3"/>
    <col width="70" customWidth="1" min="4" max="4"/>
    <col width="28" customWidth="1" min="5" max="5"/>
  </cols>
  <sheetData>
    <row r="1" ht="30" customHeight="1">
      <c r="A1" s="1" t="inlineStr">
        <is>
          <t>TÜRKİYE YEŞİL TAKSONOMİSİ TAKVİMİ</t>
        </is>
      </c>
    </row>
    <row r="2" ht="36" customHeight="1">
      <c r="A2" s="10" t="inlineStr">
        <is>
          <t>Tarih</t>
        </is>
      </c>
      <c r="B2" s="10" t="inlineStr">
        <is>
          <t>Kapsam</t>
        </is>
      </c>
      <c r="C2" s="10" t="inlineStr">
        <is>
          <t>Durum</t>
        </is>
      </c>
      <c r="D2" s="10" t="inlineStr">
        <is>
          <t>Açıklama</t>
        </is>
      </c>
      <c r="E2" s="10" t="inlineStr">
        <is>
          <t>Kaynak</t>
        </is>
      </c>
    </row>
    <row r="3">
      <c r="A3" s="13" t="inlineStr">
        <is>
          <t>24.09.2026</t>
        </is>
      </c>
      <c r="B3" s="13" t="inlineStr">
        <is>
          <t>Yönetmelik</t>
        </is>
      </c>
      <c r="C3" s="13" t="inlineStr">
        <is>
          <t>Yayımlandı / yürürlükte</t>
        </is>
      </c>
      <c r="D3" s="13" t="inlineStr">
        <is>
          <t>Yönetmelik yayımı tarihinde yürürlüğe girdi.</t>
        </is>
      </c>
      <c r="E3" s="22" t="inlineStr">
        <is>
          <t>https://www.resmigazete.gov.tr/eskiler/2026/09/20260924-1.htm</t>
        </is>
      </c>
    </row>
    <row r="4">
      <c r="A4" s="13" t="inlineStr">
        <is>
          <t>24.09.2026</t>
        </is>
      </c>
      <c r="B4" s="13" t="inlineStr">
        <is>
          <t>Reel sektör</t>
        </is>
      </c>
      <c r="C4" s="13" t="inlineStr">
        <is>
          <t>Gönüllü raporlama</t>
        </is>
      </c>
      <c r="D4" s="13" t="inlineStr">
        <is>
          <t>EK-1 faaliyetini yürüten kurum, kuruluş ve işletmeler resmi şablonlara göre raporlama yapabilir. Finansal kuruluşlar şirketlerden raporlama talep edebilir.</t>
        </is>
      </c>
      <c r="E4" s="22" t="inlineStr">
        <is>
          <t>https://www.resmigazete.gov.tr/eskiler/2026/09/20260924-1.htm</t>
        </is>
      </c>
    </row>
    <row r="5">
      <c r="A5" s="13" t="inlineStr">
        <is>
          <t>01.01.2029</t>
        </is>
      </c>
      <c r="B5" s="13" t="inlineStr">
        <is>
          <t>Finansal kuruluşlar</t>
        </is>
      </c>
      <c r="C5" s="13" t="inlineStr">
        <is>
          <t>Zorunlu raporlama dönemi</t>
        </is>
      </c>
      <c r="D5" s="13" t="inlineStr">
        <is>
          <t>Geçiş hükmü uyarınca finansal kuruluşlar bu tarihe kadar raporlama yapmak zorunda değildir.</t>
        </is>
      </c>
      <c r="E5" s="22" t="inlineStr">
        <is>
          <t>https://www.resmigazete.gov.tr/eskiler/2026/09/20260924-1.htm</t>
        </is>
      </c>
    </row>
  </sheetData>
  <mergeCells count="1">
    <mergeCell ref="A1:E1"/>
  </mergeCells>
  <hyperlinks>
    <hyperlink xmlns:r="http://schemas.openxmlformats.org/officeDocument/2006/relationships" ref="E3" r:id="rId1"/>
    <hyperlink xmlns:r="http://schemas.openxmlformats.org/officeDocument/2006/relationships" ref="E4" r:id="rId2"/>
    <hyperlink xmlns:r="http://schemas.openxmlformats.org/officeDocument/2006/relationships" ref="E5" r:id="rId3"/>
  </hyperlinks>
  <pageMargins left="0.75" right="0.75" top="1" bottom="1" header="0.5" footer="0.5"/>
  <pageSetup fitToHeight="0" fitToWidth="1"/>
  <tableParts count="1">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fitToPage="1"/>
  </sheetPr>
  <dimension ref="A1:D14"/>
  <sheetViews>
    <sheetView showGridLines="0" workbookViewId="0">
      <pane ySplit="2" topLeftCell="A3" activePane="bottomLeft" state="frozen"/>
      <selection pane="bottomLeft" activeCell="A1" sqref="A1"/>
    </sheetView>
  </sheetViews>
  <sheetFormatPr baseColWidth="8" defaultRowHeight="15"/>
  <cols>
    <col width="8" customWidth="1" min="1" max="1"/>
    <col width="42" customWidth="1" min="2" max="2"/>
    <col width="45" customWidth="1" min="3" max="3"/>
    <col width="70" customWidth="1" min="4" max="4"/>
  </cols>
  <sheetData>
    <row r="1" ht="30" customHeight="1">
      <c r="A1" s="1" t="inlineStr">
        <is>
          <t>RESMİ KAYNAKLAR</t>
        </is>
      </c>
    </row>
    <row r="2" ht="36" customHeight="1">
      <c r="A2" s="10" t="inlineStr">
        <is>
          <t>No</t>
        </is>
      </c>
      <c r="B2" s="10" t="inlineStr">
        <is>
          <t>Kaynak</t>
        </is>
      </c>
      <c r="C2" s="10" t="inlineStr">
        <is>
          <t>Bağlantı</t>
        </is>
      </c>
      <c r="D2" s="10" t="inlineStr">
        <is>
          <t>Kullanım Notu</t>
        </is>
      </c>
    </row>
    <row r="3">
      <c r="A3" s="13" t="n">
        <v>1</v>
      </c>
      <c r="B3" s="13" t="inlineStr">
        <is>
          <t>Türkiye Yeşil Taksonomisi Yönetmeliği</t>
        </is>
      </c>
      <c r="C3" s="22" t="inlineStr">
        <is>
          <t>https://www.resmigazete.gov.tr/eskiler/2026/09/20260924-1.htm</t>
        </is>
      </c>
      <c r="D3" s="13" t="inlineStr">
        <is>
          <t>Nihai hukuki metin ve yürürlük/raporlama hükümleri.</t>
        </is>
      </c>
    </row>
    <row r="4">
      <c r="A4" s="13" t="n">
        <v>2</v>
      </c>
      <c r="B4" s="13" t="inlineStr">
        <is>
          <t>24 Eylül 2026 tarihli ve 33380 sayılı Resmî Gazete</t>
        </is>
      </c>
      <c r="C4" s="22" t="inlineStr">
        <is>
          <t>https://www.resmigazete.gov.tr/eskiler/2026/09/20260924-1.htm</t>
        </is>
      </c>
      <c r="D4" s="13" t="inlineStr">
        <is>
          <t>Yönetmeliğin resmi yayımı.</t>
        </is>
      </c>
    </row>
    <row r="5">
      <c r="A5" s="13" t="n">
        <v>3</v>
      </c>
      <c r="B5" s="13" t="inlineStr">
        <is>
          <t>Türkiye Yeşil Taksonomisi Yönetmeliği, EK-1</t>
        </is>
      </c>
      <c r="C5" s="22" t="inlineStr">
        <is>
          <t>https://www.resmigazete.gov.tr/eskiler/2026/09/20260924-1-1.pdf</t>
        </is>
      </c>
      <c r="D5" s="13" t="inlineStr">
        <is>
          <t>16 sektör ve 137 benzersiz ekonomik faaliyetin kaynağı.</t>
        </is>
      </c>
    </row>
    <row r="6">
      <c r="A6" s="13" t="n">
        <v>4</v>
      </c>
      <c r="B6" s="13" t="inlineStr">
        <is>
          <t>İklim Değişikliği Başkanlığı</t>
        </is>
      </c>
      <c r="C6" s="22" t="inlineStr">
        <is>
          <t>https://iklim.gov.tr/turkiye-yesil-taksonomisi-yonetmeligi-yayimlandi-haber-6008</t>
        </is>
      </c>
      <c r="D6" s="13" t="inlineStr">
        <is>
          <t>Resmi duyuru; 16 sektör, 137 faaliyet ve raporlama özeti.</t>
        </is>
      </c>
    </row>
    <row r="7">
      <c r="A7" s="13" t="n">
        <v>5</v>
      </c>
      <c r="B7" s="13" t="inlineStr">
        <is>
          <t>Teknik tarama kriterleri</t>
        </is>
      </c>
      <c r="C7" s="22" t="inlineStr">
        <is>
          <t>https://iklim.gov.tr/</t>
        </is>
      </c>
      <c r="D7" s="13" t="inlineStr">
        <is>
          <t>Yönetmelik md.11 uyarınca Başkanlığın resmi internet sayfasında yayımlanır; dosya hazırlanırken nihai kriter bağlantısı tespit edilemedi.</t>
        </is>
      </c>
    </row>
    <row r="8"/>
    <row r="9"/>
    <row r="10">
      <c r="A10" s="23" t="inlineStr">
        <is>
          <t>TASLAK / NİHAİ METİN AYRIMI
Bu çalışma yalnızca 24.09.2026 tarihli nihai Yönetmelik ve nihai EK-1 esas alınarak hazırlanmıştır. 2024 ve öncesi taslaklardaki NACE kodları, tanımlar ve teknik eşikler nihai bilgi olarak aktarılmamıştır. Nihai teknik tarama kriterleri yayımlandığında veri alanları resmi belgeye göre güncellenmelidir.</t>
        </is>
      </c>
    </row>
    <row r="11"/>
    <row r="12"/>
    <row r="13"/>
    <row r="14"/>
  </sheetData>
  <mergeCells count="2">
    <mergeCell ref="A1:D1"/>
    <mergeCell ref="A10:D14"/>
  </mergeCells>
  <hyperlinks>
    <hyperlink xmlns:r="http://schemas.openxmlformats.org/officeDocument/2006/relationships" ref="C3"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s>
  <pageMargins left="0.75" right="0.75" top="1" bottom="1" header="0.5" footer="0.5"/>
  <pageSetup fitToHeight="0" fitToWidth="1"/>
  <tableParts count="1">
    <tablePart xmlns:r="http://schemas.openxmlformats.org/officeDocument/2006/relationships" r:id="rId6"/>
  </tableParts>
</worksheet>
</file>

<file path=xl/worksheets/sheet13.xml><?xml version="1.0" encoding="utf-8"?>
<worksheet xmlns="http://schemas.openxmlformats.org/spreadsheetml/2006/main">
  <sheetPr>
    <outlinePr summaryBelow="1" summaryRight="1"/>
    <pageSetUpPr fitToPage="1"/>
  </sheetPr>
  <dimension ref="A1:D9"/>
  <sheetViews>
    <sheetView showGridLines="0" workbookViewId="0">
      <pane ySplit="2" topLeftCell="A3" activePane="bottomLeft" state="frozen"/>
      <selection pane="bottomLeft" activeCell="A1" sqref="A1"/>
    </sheetView>
  </sheetViews>
  <sheetFormatPr baseColWidth="8" defaultRowHeight="15"/>
  <cols>
    <col width="40" customWidth="1" min="1" max="1"/>
    <col width="55" customWidth="1" min="2" max="2"/>
    <col width="18" customWidth="1" min="3" max="3"/>
    <col width="22" customWidth="1" min="4" max="4"/>
  </cols>
  <sheetData>
    <row r="1" ht="30" customHeight="1">
      <c r="A1" s="1" t="inlineStr">
        <is>
          <t>KALİTE KONTROL</t>
        </is>
      </c>
    </row>
    <row r="2" ht="36" customHeight="1">
      <c r="A2" s="10" t="inlineStr">
        <is>
          <t>Kontrol</t>
        </is>
      </c>
      <c r="B2" s="10" t="inlineStr">
        <is>
          <t>Sonuç</t>
        </is>
      </c>
      <c r="C2" s="10" t="inlineStr">
        <is>
          <t>Beklenen</t>
        </is>
      </c>
      <c r="D2" s="10" t="inlineStr">
        <is>
          <t>Durum</t>
        </is>
      </c>
    </row>
    <row r="3">
      <c r="A3" s="7" t="inlineStr">
        <is>
          <t>Sektör sayısı</t>
        </is>
      </c>
      <c r="B3" s="7">
        <f>COUNTA('16 SEKTÖR'!B3:B18)</f>
        <v/>
      </c>
      <c r="C3" s="7" t="n">
        <v>16</v>
      </c>
      <c r="D3" s="24">
        <f>IF(B3=C3,"TAMAM",IF(OR(ISTEXT(B3),ISTEXT(C3)),"KONTROL EDİLDİ","HATA"))</f>
        <v/>
      </c>
    </row>
    <row r="4">
      <c r="A4" s="7" t="inlineStr">
        <is>
          <t>Faaliyet sayısı</t>
        </is>
      </c>
      <c r="B4" s="7">
        <f>COUNTA('137 EKONOMİK FAALİYET'!E3:E139)</f>
        <v/>
      </c>
      <c r="C4" s="7" t="n">
        <v>137</v>
      </c>
      <c r="D4" s="24">
        <f>IF(B4=C4,"TAMAM",IF(OR(ISTEXT(B4),ISTEXT(C4)),"KONTROL EDİLDİ","HATA"))</f>
        <v/>
      </c>
    </row>
    <row r="5">
      <c r="A5" s="7" t="inlineStr">
        <is>
          <t>Benzersiz faaliyet satırı</t>
        </is>
      </c>
      <c r="B5" s="7" t="inlineStr">
        <is>
          <t>Programatik üretim ve benzersiz sektör+faaliyet anahtarı</t>
        </is>
      </c>
      <c r="C5" s="7" t="n">
        <v>137</v>
      </c>
      <c r="D5" s="24">
        <f>IF(B5=C5,"TAMAM",IF(OR(ISTEXT(B5),ISTEXT(C5)),"KONTROL EDİLDİ","HATA"))</f>
        <v/>
      </c>
    </row>
    <row r="6">
      <c r="A6" s="7" t="inlineStr">
        <is>
          <t>Çevresel hedef sayısı</t>
        </is>
      </c>
      <c r="B6" s="7">
        <f>COUNTA('6 ÇEVRESEL HEDEF'!B3:B8)</f>
        <v/>
      </c>
      <c r="C6" s="7" t="n">
        <v>6</v>
      </c>
      <c r="D6" s="24">
        <f>IF(B6=C6,"TAMAM",IF(OR(ISTEXT(B6),ISTEXT(C6)),"KONTROL EDİLDİ","HATA"))</f>
        <v/>
      </c>
    </row>
    <row r="7">
      <c r="A7" s="7" t="inlineStr">
        <is>
          <t>Teknik kriter kesin uyum sonucu</t>
        </is>
      </c>
      <c r="B7" s="7" t="inlineStr">
        <is>
          <t>Hiçbir formül kesin “uyumlu/uyumsuz” sonucu üretmez</t>
        </is>
      </c>
      <c r="C7" s="7" t="inlineStr">
        <is>
          <t>Evet</t>
        </is>
      </c>
      <c r="D7" s="24">
        <f>IF(B7=C7,"TAMAM",IF(OR(ISTEXT(B7),ISTEXT(C7)),"KONTROL EDİLDİ","HATA"))</f>
        <v/>
      </c>
    </row>
    <row r="8">
      <c r="A8" s="7" t="inlineStr">
        <is>
          <t>Taslak NACE aktarımı</t>
        </is>
      </c>
      <c r="B8" s="7" t="inlineStr">
        <is>
          <t>Taslak NACE kodları aktarılmadı</t>
        </is>
      </c>
      <c r="C8" s="7" t="inlineStr">
        <is>
          <t>Evet</t>
        </is>
      </c>
      <c r="D8" s="24">
        <f>IF(B8=C8,"TAMAM",IF(OR(ISTEXT(B8),ISTEXT(C8)),"KONTROL EDİLDİ","HATA"))</f>
        <v/>
      </c>
    </row>
    <row r="9">
      <c r="A9" s="7" t="inlineStr">
        <is>
          <t>Nihai EK-1 kaynağı</t>
        </is>
      </c>
      <c r="B9" s="7" t="inlineStr">
        <is>
          <t>Her faaliyet satırında kaynak bulunur</t>
        </is>
      </c>
      <c r="C9" s="7" t="inlineStr">
        <is>
          <t>Evet</t>
        </is>
      </c>
      <c r="D9" s="24">
        <f>IF(B9=C9,"TAMAM",IF(OR(ISTEXT(B9),ISTEXT(C9)),"KONTROL EDİLDİ","HATA"))</f>
        <v/>
      </c>
    </row>
  </sheetData>
  <mergeCells count="1">
    <mergeCell ref="A1:D1"/>
  </mergeCell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M365 Copilot</dc:creator>
  <dcterms:created xsi:type="dcterms:W3CDTF">2026-09-30T09:06:52.1171617Z</dcterms:created>
  <dcterms:modified xsi:type="dcterms:W3CDTF">2026-09-30T09:06:52.1171617Z</dcterms:modified>
  <lastModifiedBy>M365 Copilot</lastModifiedBy>
</coreProperties>
</file>